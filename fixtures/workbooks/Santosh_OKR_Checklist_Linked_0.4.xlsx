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2645" tabRatio="600" firstSheet="0" activeTab="0" autoFilterDateGrouping="1"/>
  </bookViews>
  <sheets>
    <sheet xmlns:r="http://schemas.openxmlformats.org/officeDocument/2006/relationships" name="Document_Summary" sheetId="1" state="visible" r:id="rId1"/>
    <sheet xmlns:r="http://schemas.openxmlformats.org/officeDocument/2006/relationships" name="KPI_2025" sheetId="2" state="visible" r:id="rId2"/>
    <sheet xmlns:r="http://schemas.openxmlformats.org/officeDocument/2006/relationships" name="KPI_2026" sheetId="3" state="visible" r:id="rId3"/>
    <sheet xmlns:r="http://schemas.openxmlformats.org/officeDocument/2006/relationships" name="OKR_Summary" sheetId="4" state="visible" r:id="rId4"/>
    <sheet xmlns:r="http://schemas.openxmlformats.org/officeDocument/2006/relationships" name="OKR_Checklist_Summary" sheetId="5" state="visible" r:id="rId5"/>
    <sheet xmlns:r="http://schemas.openxmlformats.org/officeDocument/2006/relationships" name="Santosh_OKR_Checklist" sheetId="6" state="visible" r:id="rId6"/>
    <sheet xmlns:r="http://schemas.openxmlformats.org/officeDocument/2006/relationships" name="Actual_vs_Achieved_Scorecard" sheetId="7" state="visible" r:id="rId7"/>
    <sheet xmlns:r="http://schemas.openxmlformats.org/officeDocument/2006/relationships" name="Ticket_Velocity" sheetId="8" state="visible" r:id="rId8"/>
    <sheet xmlns:r="http://schemas.openxmlformats.org/officeDocument/2006/relationships" name="Ticket_Spillover" sheetId="9" state="visible" r:id="rId9"/>
    <sheet xmlns:r="http://schemas.openxmlformats.org/officeDocument/2006/relationships" name="FirstCut_Quality" sheetId="10" state="visible" r:id="rId10"/>
    <sheet xmlns:r="http://schemas.openxmlformats.org/officeDocument/2006/relationships" name="CodeChange_Summary" sheetId="11" state="visible" r:id="rId11"/>
    <sheet xmlns:r="http://schemas.openxmlformats.org/officeDocument/2006/relationships" name="CodeChange_Tickets" sheetId="12" state="visible" r:id="rId12"/>
    <sheet xmlns:r="http://schemas.openxmlformats.org/officeDocument/2006/relationships" name="Helpdesk_Discipline" sheetId="13" state="visible" r:id="rId13"/>
    <sheet xmlns:r="http://schemas.openxmlformats.org/officeDocument/2006/relationships" name="SLA_CycleDays" sheetId="14" state="visible" r:id="rId14"/>
    <sheet xmlns:r="http://schemas.openxmlformats.org/officeDocument/2006/relationships" name="Customer_Defect_Themes" sheetId="15" state="visible" r:id="rId15"/>
    <sheet xmlns:r="http://schemas.openxmlformats.org/officeDocument/2006/relationships" name="Rework_Reopen_Proxy" sheetId="16" state="visible" r:id="rId16"/>
    <sheet xmlns:r="http://schemas.openxmlformats.org/officeDocument/2006/relationships" name="Learning_Evidence" sheetId="17" state="visible" r:id="rId17"/>
    <sheet xmlns:r="http://schemas.openxmlformats.org/officeDocument/2006/relationships" name="Tickets_Master_Santosh" sheetId="18" state="visible" r:id="rId18"/>
    <sheet xmlns:r="http://schemas.openxmlformats.org/officeDocument/2006/relationships" name="Q2-2025_Tickets" sheetId="19" state="visible" r:id="rId19"/>
    <sheet xmlns:r="http://schemas.openxmlformats.org/officeDocument/2006/relationships" name="Q2-2025_Ticket_Summary" sheetId="20" state="visible" r:id="rId20"/>
    <sheet xmlns:r="http://schemas.openxmlformats.org/officeDocument/2006/relationships" name="Q3-2025_Tickets" sheetId="21" state="visible" r:id="rId21"/>
    <sheet xmlns:r="http://schemas.openxmlformats.org/officeDocument/2006/relationships" name="Q3-2025_Ticket_Summary" sheetId="22" state="visible" r:id="rId22"/>
    <sheet xmlns:r="http://schemas.openxmlformats.org/officeDocument/2006/relationships" name="Q4-2025_Tickets" sheetId="23" state="visible" r:id="rId23"/>
    <sheet xmlns:r="http://schemas.openxmlformats.org/officeDocument/2006/relationships" name="Q4-2025_Ticket_Summary" sheetId="24" state="visible" r:id="rId24"/>
    <sheet xmlns:r="http://schemas.openxmlformats.org/officeDocument/2006/relationships" name="Q1-2026_Tickets" sheetId="25" state="visible" r:id="rId25"/>
    <sheet xmlns:r="http://schemas.openxmlformats.org/officeDocument/2006/relationships" name="Q1-2026_Ticket_Summary" sheetId="26" state="visible" r:id="rId26"/>
    <sheet xmlns:r="http://schemas.openxmlformats.org/officeDocument/2006/relationships" name="Q2-2026_Tickets" sheetId="27" state="visible" r:id="rId27"/>
    <sheet xmlns:r="http://schemas.openxmlformats.org/officeDocument/2006/relationships" name="Q2-2026_Ticket_Summary" sheetId="28" state="visible" r:id="rId28"/>
    <sheet xmlns:r="http://schemas.openxmlformats.org/officeDocument/2006/relationships" name="Q3-2026_Tickets" sheetId="29" state="visible" r:id="rId29"/>
    <sheet xmlns:r="http://schemas.openxmlformats.org/officeDocument/2006/relationships" name="Q3-2026_Ticket_Summary" sheetId="30" state="visible" r:id="rId30"/>
  </sheets>
  <definedNames>
    <definedName name="_xlnm._FilterDatabase" localSheetId="0" hidden="1">'Document_Summary'!$A$2:$C$14</definedName>
    <definedName name="_xlnm._FilterDatabase" localSheetId="5" hidden="1">'Santosh_OKR_Checklist'!$A$1:$J$19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1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b val="1"/>
      <color rgb="FF002060"/>
      <sz val="13"/>
    </font>
    <font>
      <name val="Calibri"/>
      <b val="1"/>
      <color rgb="FF00206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2060"/>
      <sz val="11"/>
    </font>
    <font>
      <name val="Calibri"/>
      <b val="1"/>
      <sz val="14"/>
    </font>
    <font>
      <name val="Calibri"/>
      <b val="1"/>
      <sz val="16"/>
    </font>
    <font>
      <name val="Calibri"/>
      <b val="1"/>
      <color rgb="FF002060"/>
      <sz val="12"/>
    </font>
    <font>
      <name val="Calibri"/>
      <b val="1"/>
      <color rgb="FF002060"/>
      <sz val="14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color rgb="FF0563C1"/>
      <u val="single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B050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002060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/>
      <top/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1" fillId="0" borderId="0" pivotButton="0" quotePrefix="0" xfId="0"/>
    <xf numFmtId="0" fontId="12" fillId="1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2" fontId="5" fillId="0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2" fontId="8" fillId="11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2" fontId="9" fillId="11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9" borderId="2" applyAlignment="1" pivotButton="0" quotePrefix="0" xfId="0">
      <alignment horizontal="left" vertical="center" wrapText="1"/>
    </xf>
    <xf numFmtId="9" fontId="0" fillId="0" borderId="2" applyAlignment="1" pivotButton="0" quotePrefix="0" xfId="0">
      <alignment horizontal="left" vertical="center" wrapText="1"/>
    </xf>
    <xf numFmtId="164" fontId="12" fillId="12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4" borderId="2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2" fillId="3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5" fillId="0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bitbucket.org/msnalashaa/performance-learning-development/src/main/2026/Santosh/" TargetMode="External" Id="rId1"/><Relationship Type="http://schemas.openxmlformats.org/officeDocument/2006/relationships/hyperlink" Target="https://bitbucket.org/msnalashaa/performance-learning-development/src/main/2026/Santosh/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helpdesk.gvwgroup.com/Timesheet.do" TargetMode="External" Id="rId1"/><Relationship Type="http://schemas.openxmlformats.org/officeDocument/2006/relationships/hyperlink" Target="https://helpdesk.gvwgroup.com/Timesheet.do" TargetMode="External" Id="rId2"/><Relationship Type="http://schemas.openxmlformats.org/officeDocument/2006/relationships/hyperlink" Target="https://helpdesk.gvwgroup.com/Timesheet.do" TargetMode="External" Id="rId3"/><Relationship Type="http://schemas.openxmlformats.org/officeDocument/2006/relationships/hyperlink" Target="https://bitbucket.org/msnalashaa/performance-learning-development/src/main/2026/Santosh/" TargetMode="External" Id="rId4"/><Relationship Type="http://schemas.openxmlformats.org/officeDocument/2006/relationships/hyperlink" Target="https://helpdesk.gvwgroup.com/Timesheet.do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bitbucket.org/msnalashaa/performance-learning-development/src/main/2026/Santosh/" TargetMode="External" Id="rId1"/><Relationship Type="http://schemas.openxmlformats.org/officeDocument/2006/relationships/hyperlink" Target="https://bitbucket.org/msnalashaa/performance-learning-development/src/main/2026/Santosh/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helpdesk.gvwgroup.com/Timesheet.do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tbucket.org/msnalashaa/performance-learning-development/src/main/2026/Santosh/" TargetMode="External" Id="rId1"/><Relationship Type="http://schemas.openxmlformats.org/officeDocument/2006/relationships/hyperlink" Target="https://bitbucket.org/msnalashaa/performance-learning-development/src/main/2026/Santosh/" TargetMode="External" Id="rId2"/><Relationship Type="http://schemas.openxmlformats.org/officeDocument/2006/relationships/hyperlink" Target="https://bitbucket.org/pranjan/performance-learning-development/src/main/2026/Santosh/Q3/" TargetMode="External" Id="rId3"/><Relationship Type="http://schemas.openxmlformats.org/officeDocument/2006/relationships/hyperlink" Target="https://bitbucket.org/msnalashaa/performance-learning-development/src/main/2026/Santosh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pane ySplit="2" topLeftCell="A9" activePane="bottomLeft" state="frozen"/>
      <selection pane="bottomLeft" activeCell="C15" sqref="C15"/>
    </sheetView>
  </sheetViews>
  <sheetFormatPr baseColWidth="8" defaultRowHeight="15"/>
  <cols>
    <col width="10.140625" bestFit="1" customWidth="1" style="42" min="1" max="1"/>
    <col width="23.7109375" bestFit="1" customWidth="1" style="42" min="2" max="2"/>
    <col width="110" customWidth="1" style="42" min="3" max="3"/>
  </cols>
  <sheetData>
    <row r="1" ht="18.75" customHeight="1" s="42">
      <c r="A1" s="44" t="inlineStr">
        <is>
          <t>Santosh OKR checklist — document summary</t>
        </is>
      </c>
    </row>
    <row r="2" ht="21.95" customHeight="1" s="42">
      <c r="A2" s="46" t="inlineStr">
        <is>
          <t>Version</t>
        </is>
      </c>
      <c r="B2" s="46" t="inlineStr">
        <is>
          <t>Area</t>
        </is>
      </c>
      <c r="C2" s="46" t="inlineStr">
        <is>
          <t>Change</t>
        </is>
      </c>
    </row>
    <row r="3" ht="42" customHeight="1" s="42">
      <c r="A3" s="47" t="inlineStr">
        <is>
          <t>Linked</t>
        </is>
      </c>
      <c r="B3" s="47" t="inlineStr">
        <is>
          <t>Pack</t>
        </is>
      </c>
      <c r="C3" s="47" t="inlineStr">
        <is>
          <t>First linked workbook. KPI_2025 and KPI_2026, OKR checklist, ticket evidence, and learning evidence.</t>
        </is>
      </c>
    </row>
    <row r="4" ht="42" customHeight="1" s="42">
      <c r="A4" s="47" t="inlineStr">
        <is>
          <t>0.2</t>
        </is>
      </c>
      <c r="B4" s="47" t="inlineStr">
        <is>
          <t>Pack</t>
        </is>
      </c>
      <c r="C4" s="47" t="inlineStr">
        <is>
          <t>Review copy. Full-year KPI weights kept (Delivery 50, Process 15, External Bugs 20, Self Learning 15; 2026 Execution 29, Quality 50, L&amp;D 20, Growth 1).</t>
        </is>
      </c>
    </row>
    <row r="5" ht="24" customHeight="1" s="42">
      <c r="A5" s="47" t="inlineStr">
        <is>
          <t>0.2</t>
        </is>
      </c>
      <c r="B5" s="47" t="inlineStr">
        <is>
          <t>Score</t>
        </is>
      </c>
      <c r="C5" s="47" t="inlineStr">
        <is>
          <t>Each quarter was shown as 100 out of 100. This is the file shared for feedback.</t>
        </is>
      </c>
    </row>
    <row r="6" ht="42" customHeight="1" s="42">
      <c r="A6" s="47" t="inlineStr">
        <is>
          <t>0.3</t>
        </is>
      </c>
      <c r="B6" s="47" t="inlineStr">
        <is>
          <t>KPI weight</t>
        </is>
      </c>
      <c r="C6" s="47" t="inlineStr">
        <is>
          <t>Weight is only for the two quarters in scope: annual weight / 4 x 2. 2025 expected 50. 2026 expected 50.</t>
        </is>
      </c>
    </row>
    <row r="7" ht="24" customHeight="1" s="42">
      <c r="A7" s="47" t="inlineStr">
        <is>
          <t>0.3</t>
        </is>
      </c>
      <c r="B7" s="47" t="inlineStr">
        <is>
          <t>Score rule</t>
        </is>
      </c>
      <c r="C7" s="47" t="inlineStr">
        <is>
          <t>A KPI marked Yes gets the full quarter weight (annual / 4). A KPI marked No gets 0.</t>
        </is>
      </c>
    </row>
    <row r="8" ht="42" customHeight="1" s="42">
      <c r="A8" s="47" t="inlineStr">
        <is>
          <t>0.3</t>
        </is>
      </c>
      <c r="B8" s="47" t="inlineStr">
        <is>
          <t>2025 score</t>
        </is>
      </c>
      <c r="C8" s="47" t="inlineStr">
        <is>
          <t>Q3-2025 = 25 and Q4-2025 = 25. All four KPIs are Yes: Project Delivery 12.5, Process Adherence 3.75, External Bugs 5, Self Learning 3.75. 2025 achieved = 50.</t>
        </is>
      </c>
    </row>
    <row r="9" ht="60" customHeight="1" s="42">
      <c r="A9" s="47" t="inlineStr">
        <is>
          <t>0.3</t>
        </is>
      </c>
      <c r="B9" s="47" t="inlineStr">
        <is>
          <t>2026 score</t>
        </is>
      </c>
      <c r="C9" s="47" t="inlineStr">
        <is>
          <t>Each quarter is out of 25, with the same three KPIs as Utkarsh: Execution 7.5, Quality 12.5, L&amp;D 5. Execution is No (Q1 closed 4 vs target 9; Q2 closed 6 vs target 12), so 0. Quality is Yes, 12.5. L&amp;D is Yes, 5. Quarter achieved = 17.5. Two quarters = 35. Total achieved = 85.</t>
        </is>
      </c>
    </row>
    <row r="10" ht="42" customHeight="1" s="42">
      <c r="A10" s="47" t="inlineStr">
        <is>
          <t>0.3</t>
        </is>
      </c>
      <c r="B10" s="47" t="inlineStr">
        <is>
          <t>PR rejection</t>
        </is>
      </c>
      <c r="C10" s="47" t="inlineStr">
        <is>
          <t>CodeChange_Summary records PR rejection = 0 (0%) for Q3-2025, Q4-2025, Q1-2026, and Q2-2026. Those OKR lines are Yes.</t>
        </is>
      </c>
    </row>
    <row r="11" ht="24" customHeight="1" s="42">
      <c r="A11" s="47" t="inlineStr">
        <is>
          <t>0.3</t>
        </is>
      </c>
      <c r="B11" s="47" t="inlineStr">
        <is>
          <t>External bugs</t>
        </is>
      </c>
      <c r="C11" s="47" t="inlineStr">
        <is>
          <t>External Bug Count is Yes. No client-reported defect was recorded (count = 0, limit is 4 or fewer).</t>
        </is>
      </c>
    </row>
    <row r="12" ht="42" customHeight="1" s="42">
      <c r="A12" s="47" t="inlineStr">
        <is>
          <t>0.3</t>
        </is>
      </c>
      <c r="B12" s="47" t="inlineStr">
        <is>
          <t>Timesheet and stand-ups</t>
        </is>
      </c>
      <c r="C12" s="47" t="inlineStr">
        <is>
          <t>Timesheets were submitted and stand-up meetings were scheduled and attended. Evidence: Aculocity Helpdesk https://helpdesk.gvwgroup.com/Timesheet.do</t>
        </is>
      </c>
    </row>
    <row r="13" ht="42" customHeight="1" s="42">
      <c r="A13" s="47" t="inlineStr">
        <is>
          <t>0.3</t>
        </is>
      </c>
      <c r="B13" s="47" t="inlineStr">
        <is>
          <t>2026 KPIs</t>
        </is>
      </c>
      <c r="C13" s="47" t="inlineStr">
        <is>
          <t>Growth is removed. The 1 annual point that was on Growth is added to Execution, so Execution is 30 (7.5 a quarter), Quality stays 50 (12.5), and L&amp;D stays 20 (5). A quarter is still 25, the same count as Utkarsh.</t>
        </is>
      </c>
    </row>
    <row r="14" ht="24" customHeight="1" s="42">
      <c r="A14" s="47" t="inlineStr">
        <is>
          <t>0.3</t>
        </is>
      </c>
      <c r="B14" s="47" t="inlineStr">
        <is>
          <t>Final score</t>
        </is>
      </c>
      <c r="C14" s="47" t="inlineStr">
        <is>
          <t>Expected 100. Achieved 85 (2025: 50, 2026: 35).</t>
        </is>
      </c>
    </row>
    <row r="15" ht="24" customHeight="1" s="42">
      <c r="A15" s="47" t="inlineStr">
        <is>
          <t>0.4</t>
        </is>
      </c>
      <c r="B15" s="47" t="inlineStr">
        <is>
          <t>Tickets</t>
        </is>
      </c>
      <c r="C15" s="47" t="inlineStr">
        <is>
          <t>Q3-2026 ticket tracker included (10 tickets) on Tickets_Master_Santosh, Q3-2026_Tickets, and Q3-2026_Ticket_Summary. New tickets 45359 and 43681 have no assign or closure date, so cycle days stay blank. 43310 moves from Q2-2026, 16797 from Q4-2024, and 25685 from Q4-2025. Code lines follow the tracker where a number is present. SQL lines stay as previously stored because the tracker SQL column is blank. Data Issue = Yes for 45359, 41696, and 43681. Q3-2026 stays outside the appraisal score, and Q3 KPI actuals stay blank.</t>
        </is>
      </c>
    </row>
    <row r="16">
      <c r="A16" t="inlineStr">
        <is>
          <t>0.4</t>
        </is>
      </c>
      <c r="B16" t="inlineStr">
        <is>
          <t>Q3 score</t>
        </is>
      </c>
      <c r="C16" t="inlineStr">
        <is>
          <t>Q3-2026 Execution is scored from the master: 8 closed (target 15), No. Learning stays blank because no Q3 course evidence was recorded. Quality is Yes: defect themes 3 (threshold 4 or fewer) and rework proxy 0.</t>
        </is>
      </c>
    </row>
    <row r="17">
      <c r="A17" t="inlineStr">
        <is>
          <t>0.4</t>
        </is>
      </c>
      <c r="B17" t="inlineStr">
        <is>
          <t>Q3 learning</t>
        </is>
      </c>
      <c r="C17" s="54" t="inlineStr">
        <is>
          <t>Q3-2026 Learning is Yes. Evidence: https://bitbucket.org/pranjan/performance-learning-development/src/main/2026/Santosh/Q3/</t>
        </is>
      </c>
    </row>
  </sheetData>
  <autoFilter ref="A2:C14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4" sqref="A4"/>
    </sheetView>
  </sheetViews>
  <sheetFormatPr baseColWidth="8" defaultRowHeight="15"/>
  <cols>
    <col width="14" customWidth="1" style="42" min="1" max="2"/>
    <col width="15" customWidth="1" style="42" min="3" max="3"/>
    <col width="14" customWidth="1" style="42" min="4" max="15"/>
    <col width="18" customWidth="1" style="42" min="16" max="19"/>
  </cols>
  <sheetData>
    <row r="1" ht="21.95" customHeight="1" s="42">
      <c r="A1" s="11" t="inlineStr">
        <is>
          <t>KPI</t>
        </is>
      </c>
      <c r="B1" s="11" t="inlineStr">
        <is>
          <t>EmployeeID</t>
        </is>
      </c>
      <c r="C1" s="11" t="inlineStr">
        <is>
          <t>EmployeeName</t>
        </is>
      </c>
      <c r="D1" s="11" t="inlineStr">
        <is>
          <t>Weightage</t>
        </is>
      </c>
      <c r="E1" s="11" t="inlineStr">
        <is>
          <t>Year</t>
        </is>
      </c>
      <c r="F1" s="11" t="inlineStr">
        <is>
          <t>Q3Target</t>
        </is>
      </c>
      <c r="G1" s="11" t="inlineStr">
        <is>
          <t>Q3Actual</t>
        </is>
      </c>
      <c r="H1" s="11" t="inlineStr">
        <is>
          <t>Q3Achieved</t>
        </is>
      </c>
      <c r="I1" s="11" t="inlineStr">
        <is>
          <t>OKR Link</t>
        </is>
      </c>
      <c r="J1" s="11" t="inlineStr">
        <is>
          <t>Q4Target</t>
        </is>
      </c>
      <c r="K1" s="11" t="inlineStr">
        <is>
          <t>Q4Actual</t>
        </is>
      </c>
      <c r="L1" s="11" t="inlineStr">
        <is>
          <t>Q4Achieved</t>
        </is>
      </c>
      <c r="M1" s="11" t="inlineStr">
        <is>
          <t>OKR Link</t>
        </is>
      </c>
      <c r="N1" s="11" t="inlineStr">
        <is>
          <t>Title</t>
        </is>
      </c>
      <c r="O1" s="11" t="inlineStr">
        <is>
          <t>RM</t>
        </is>
      </c>
      <c r="P1" s="5" t="n"/>
      <c r="Q1" s="5" t="n"/>
      <c r="R1" s="5" t="n"/>
      <c r="S1" s="5" t="n"/>
    </row>
    <row r="2" ht="56.1" customHeight="1" s="42">
      <c r="A2" s="13" t="inlineStr">
        <is>
          <t>Project Delivery</t>
        </is>
      </c>
      <c r="B2" s="53" t="n">
        <v>2021</v>
      </c>
      <c r="C2" s="13" t="inlineStr">
        <is>
          <t>Santosh</t>
        </is>
      </c>
      <c r="D2" s="14">
        <f>50/4*2</f>
        <v/>
      </c>
      <c r="E2" s="13" t="n">
        <v>2025</v>
      </c>
      <c r="F2" s="13" t="inlineStr">
        <is>
          <t>More &gt;85% alignment with Project delivery checklist (QAD SCRs / Helpdesk)</t>
        </is>
      </c>
      <c r="G2" s="13" t="inlineStr">
        <is>
          <t>9 closed (target 9)</t>
        </is>
      </c>
      <c r="H2" s="15" t="inlineStr">
        <is>
          <t>Yes</t>
        </is>
      </c>
      <c r="I2" s="16" t="inlineStr">
        <is>
          <t>Santosh_OKR_Checklist!A2</t>
        </is>
      </c>
      <c r="J2" s="13" t="inlineStr">
        <is>
          <t>More &gt;85% alignment with Project delivery checklist (QAD SCRs / Helpdesk)</t>
        </is>
      </c>
      <c r="K2" s="13" t="inlineStr">
        <is>
          <t>8 closed (target 9) — met &gt;=70% threshold (6+)</t>
        </is>
      </c>
      <c r="L2" s="15" t="inlineStr">
        <is>
          <t>Yes</t>
        </is>
      </c>
      <c r="M2" s="16" t="inlineStr">
        <is>
          <t>Santosh_OKR_Checklist!A6</t>
        </is>
      </c>
      <c r="N2" s="13" t="inlineStr">
        <is>
          <t>LE</t>
        </is>
      </c>
      <c r="O2" s="13" t="inlineStr">
        <is>
          <t>Kiran Sangem</t>
        </is>
      </c>
      <c r="P2" s="6" t="n"/>
      <c r="Q2" s="2" t="n"/>
      <c r="R2" s="1" t="n"/>
      <c r="S2" s="1" t="n"/>
    </row>
    <row r="3" ht="56.1" customHeight="1" s="42">
      <c r="A3" s="13" t="inlineStr">
        <is>
          <t>Process Adherance</t>
        </is>
      </c>
      <c r="B3" s="53" t="n">
        <v>2021</v>
      </c>
      <c r="C3" s="13" t="inlineStr">
        <is>
          <t>Santosh</t>
        </is>
      </c>
      <c r="D3" s="14">
        <f>15/4*2</f>
        <v/>
      </c>
      <c r="E3" s="13" t="n">
        <v>2025</v>
      </c>
      <c r="F3" s="13" t="inlineStr">
        <is>
          <t>More &gt; 90% discipline to be followed for Process Checklist</t>
        </is>
      </c>
      <c r="G3" s="13" t="inlineStr">
        <is>
          <t>Tickets in qtr=11; closed=9 — see Helpdesk_Discipline</t>
        </is>
      </c>
      <c r="H3" s="15" t="inlineStr">
        <is>
          <t>Yes</t>
        </is>
      </c>
      <c r="I3" s="16" t="inlineStr">
        <is>
          <t>Santosh_OKR_Checklist!A3</t>
        </is>
      </c>
      <c r="J3" s="13" t="inlineStr">
        <is>
          <t>More &gt; 90% discipline to be followed for Process Checklist</t>
        </is>
      </c>
      <c r="K3" s="13" t="inlineStr">
        <is>
          <t>Tickets in qtr=9; closed=8 — see Helpdesk_Discipline</t>
        </is>
      </c>
      <c r="L3" s="15" t="inlineStr">
        <is>
          <t>Yes</t>
        </is>
      </c>
      <c r="M3" s="16" t="inlineStr">
        <is>
          <t>Santosh_OKR_Checklist!A7</t>
        </is>
      </c>
      <c r="N3" s="13" t="inlineStr">
        <is>
          <t>LE</t>
        </is>
      </c>
      <c r="O3" s="13" t="inlineStr">
        <is>
          <t>Kiran Sangem</t>
        </is>
      </c>
      <c r="P3" s="6" t="n"/>
      <c r="Q3" s="2" t="n"/>
      <c r="R3" s="1" t="n"/>
      <c r="S3" s="1" t="n"/>
    </row>
    <row r="4" ht="56.1" customHeight="1" s="42">
      <c r="A4" s="13" t="inlineStr">
        <is>
          <t>External Bug Count, Ticket Reopen</t>
        </is>
      </c>
      <c r="B4" s="53" t="n">
        <v>2021</v>
      </c>
      <c r="C4" s="13" t="inlineStr">
        <is>
          <t>Santosh</t>
        </is>
      </c>
      <c r="D4" s="14">
        <f>20/4*2</f>
        <v/>
      </c>
      <c r="E4" s="13" t="n">
        <v>2025</v>
      </c>
      <c r="F4" s="13" t="inlineStr">
        <is>
          <t>External bugs (Client reported) to be &lt;= 4 of total tickets delivered in quarter</t>
        </is>
      </c>
      <c r="G4" s="13" t="inlineStr">
        <is>
          <t>Client-reported external defects = 0 (threshold &lt;=4)</t>
        </is>
      </c>
      <c r="H4" s="15" t="inlineStr">
        <is>
          <t>Yes</t>
        </is>
      </c>
      <c r="I4" s="16" t="inlineStr">
        <is>
          <t>Santosh_OKR_Checklist!A4</t>
        </is>
      </c>
      <c r="J4" s="13" t="inlineStr">
        <is>
          <t>External bugs (Client reported) to be &lt;= 4 of total tickets delivered in quarter</t>
        </is>
      </c>
      <c r="K4" s="13" t="inlineStr">
        <is>
          <t>Client-reported external defects = 0 (threshold &lt;=4)</t>
        </is>
      </c>
      <c r="L4" s="15" t="inlineStr">
        <is>
          <t>Yes</t>
        </is>
      </c>
      <c r="M4" s="16" t="inlineStr">
        <is>
          <t>Santosh_OKR_Checklist!A8</t>
        </is>
      </c>
      <c r="N4" s="13" t="inlineStr">
        <is>
          <t>LE</t>
        </is>
      </c>
      <c r="O4" s="13" t="inlineStr">
        <is>
          <t>Kiran Sangem</t>
        </is>
      </c>
      <c r="P4" s="6" t="n"/>
      <c r="Q4" s="2" t="n"/>
      <c r="R4" s="1" t="n"/>
      <c r="S4" s="1" t="n"/>
    </row>
    <row r="5" ht="56.1" customHeight="1" s="42">
      <c r="A5" s="13" t="inlineStr">
        <is>
          <t>Self Learning</t>
        </is>
      </c>
      <c r="B5" s="53" t="n">
        <v>2021</v>
      </c>
      <c r="C5" s="13" t="inlineStr">
        <is>
          <t>Santosh</t>
        </is>
      </c>
      <c r="D5" s="14">
        <f>15/4*2</f>
        <v/>
      </c>
      <c r="E5" s="13" t="n">
        <v>2025</v>
      </c>
      <c r="F5" s="13" t="inlineStr">
        <is>
          <t>1 POC submission — Progress/ABL or QAD integration deep-dive</t>
        </is>
      </c>
      <c r="G5" s="13" t="inlineStr">
        <is>
          <t>POC — see Learning_Evidence</t>
        </is>
      </c>
      <c r="H5" s="15" t="inlineStr">
        <is>
          <t>Yes</t>
        </is>
      </c>
      <c r="I5" s="16" t="inlineStr">
        <is>
          <t>Santosh_OKR_Checklist!A5</t>
        </is>
      </c>
      <c r="J5" s="13" t="inlineStr">
        <is>
          <t>1 POC submission — Progress/ABL or QAD integration deep-dive</t>
        </is>
      </c>
      <c r="K5" s="13" t="inlineStr">
        <is>
          <t>POC — see Learning_Evidence</t>
        </is>
      </c>
      <c r="L5" s="15" t="inlineStr">
        <is>
          <t>Yes</t>
        </is>
      </c>
      <c r="M5" s="16" t="inlineStr">
        <is>
          <t>Santosh_OKR_Checklist!A9</t>
        </is>
      </c>
      <c r="N5" s="13" t="inlineStr">
        <is>
          <t>LE</t>
        </is>
      </c>
      <c r="O5" s="13" t="inlineStr">
        <is>
          <t>Kiran Sangem</t>
        </is>
      </c>
      <c r="P5" s="6" t="n"/>
      <c r="Q5" s="2" t="n"/>
      <c r="R5" s="1" t="n"/>
      <c r="S5" s="1" t="n"/>
    </row>
    <row r="6">
      <c r="A6" s="7" t="n"/>
      <c r="C6" s="8" t="n"/>
      <c r="D6" s="8" t="n"/>
      <c r="E6" s="8" t="n"/>
      <c r="G6" s="7" t="n"/>
      <c r="H6" s="9" t="n"/>
      <c r="I6" s="3" t="n"/>
      <c r="K6" s="9" t="n"/>
      <c r="L6" s="9" t="n"/>
      <c r="M6" s="3" t="n"/>
    </row>
    <row r="7" ht="30" customHeight="1" s="42">
      <c r="A7" s="17" t="inlineStr">
        <is>
          <t>2 Quarter Sum (Expected)</t>
        </is>
      </c>
      <c r="B7" s="18">
        <f>SUM(D2:D5)</f>
        <v/>
      </c>
    </row>
    <row r="8" ht="36" customHeight="1" s="42">
      <c r="A8" s="17" t="inlineStr">
        <is>
          <t>Achieved</t>
        </is>
      </c>
      <c r="B8" s="18" t="n">
        <v>50</v>
      </c>
      <c r="C8" s="19" t="inlineStr">
        <is>
          <t>50 = Q3 25 + Q4 25. Rule: Yes = full quarter weight, No = 0. Quarter weight = annual / 4: Project Delivery 12.5, Process 3.75, External Bugs 5, Self Learning 3.75.</t>
        </is>
      </c>
    </row>
    <row r="9" ht="36" customHeight="1" s="42">
      <c r="A9" s="19" t="inlineStr">
        <is>
          <t>Expected = annual KPI weight / 4 x 2 quarters (Q3-2025 + Q4-2025). Achieved = OKR lines marked Yes (50.0 of checklist weight 50.0). L&amp;D / Self Learning left unchanged.</t>
        </is>
      </c>
    </row>
  </sheetData>
  <hyperlinks>
    <hyperlink ref="I2" location="Santosh_OKR_Checklist!A2" display="Santosh_OKR_Checklist!A2"/>
    <hyperlink ref="M2" location="Santosh_OKR_Checklist!A6" display="Santosh_OKR_Checklist!A6"/>
    <hyperlink ref="I3" location="Santosh_OKR_Checklist!A3" display="Santosh_OKR_Checklist!A3"/>
    <hyperlink ref="M3" location="Santosh_OKR_Checklist!A7" display="Santosh_OKR_Checklist!A7"/>
    <hyperlink ref="I4" location="Santosh_OKR_Checklist!A4" display="Santosh_OKR_Checklist!A4"/>
    <hyperlink ref="M4" location="Santosh_OKR_Checklist!A8" display="Santosh_OKR_Checklist!A8"/>
    <hyperlink ref="I5" location="Santosh_OKR_Checklist!A5" display="Santosh_OKR_Checklist!A5"/>
    <hyperlink ref="M5" location="Santosh_OKR_Checklist!A9" display="Santosh_OKR_Checklist!A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topLeftCell="F1" workbookViewId="0">
      <selection activeCell="M4" sqref="M4"/>
    </sheetView>
  </sheetViews>
  <sheetFormatPr baseColWidth="8" defaultRowHeight="15"/>
  <cols>
    <col width="14" customWidth="1" style="42" min="1" max="2"/>
    <col width="15" customWidth="1" style="42" min="3" max="3"/>
    <col width="14" customWidth="1" style="42" min="4" max="21"/>
  </cols>
  <sheetData>
    <row r="1" ht="21.95" customHeight="1" s="42">
      <c r="A1" s="11" t="inlineStr">
        <is>
          <t>KPI</t>
        </is>
      </c>
      <c r="B1" s="11" t="inlineStr">
        <is>
          <t>EmployeeID</t>
        </is>
      </c>
      <c r="C1" s="11" t="inlineStr">
        <is>
          <t>EmployeeName</t>
        </is>
      </c>
      <c r="D1" s="11" t="inlineStr">
        <is>
          <t>Weightage</t>
        </is>
      </c>
      <c r="E1" s="11" t="inlineStr">
        <is>
          <t>Year</t>
        </is>
      </c>
      <c r="F1" s="11" t="inlineStr">
        <is>
          <t>Q1Target</t>
        </is>
      </c>
      <c r="G1" s="11" t="inlineStr">
        <is>
          <t>Q1Actual</t>
        </is>
      </c>
      <c r="H1" s="11" t="inlineStr">
        <is>
          <t>Q1Achieved</t>
        </is>
      </c>
      <c r="I1" s="11" t="inlineStr">
        <is>
          <t>OKR Link</t>
        </is>
      </c>
      <c r="J1" s="11" t="inlineStr">
        <is>
          <t>Q2Target</t>
        </is>
      </c>
      <c r="K1" s="11" t="inlineStr">
        <is>
          <t>Q2Actual</t>
        </is>
      </c>
      <c r="L1" s="11" t="inlineStr">
        <is>
          <t>Q2Achieved</t>
        </is>
      </c>
      <c r="M1" s="11" t="inlineStr">
        <is>
          <t>OKR Link</t>
        </is>
      </c>
      <c r="N1" s="11" t="inlineStr">
        <is>
          <t>Q3Target</t>
        </is>
      </c>
      <c r="O1" s="11" t="inlineStr">
        <is>
          <t>Q3Actual</t>
        </is>
      </c>
      <c r="P1" s="11" t="inlineStr">
        <is>
          <t>Q3Achieved</t>
        </is>
      </c>
      <c r="Q1" s="11" t="inlineStr">
        <is>
          <t>OKR Link</t>
        </is>
      </c>
      <c r="R1" s="11" t="inlineStr">
        <is>
          <t>Q4Target</t>
        </is>
      </c>
      <c r="S1" s="11" t="inlineStr">
        <is>
          <t>Q4Actual</t>
        </is>
      </c>
      <c r="T1" s="11" t="inlineStr">
        <is>
          <t>Q4Achieved</t>
        </is>
      </c>
      <c r="U1" s="11" t="inlineStr">
        <is>
          <t>OKR Link</t>
        </is>
      </c>
    </row>
    <row r="2" ht="36" customHeight="1" s="42">
      <c r="A2" s="13" t="inlineStr">
        <is>
          <t>Execution</t>
        </is>
      </c>
      <c r="B2" s="53" t="n">
        <v>2021</v>
      </c>
      <c r="C2" s="13" t="inlineStr">
        <is>
          <t>Santosh</t>
        </is>
      </c>
      <c r="D2" s="14">
        <f>30/4*2</f>
        <v/>
      </c>
      <c r="E2" s="13" t="n">
        <v>2026</v>
      </c>
      <c r="F2" s="13" t="inlineStr">
        <is>
          <t>Deliver 3 Helpdesk Plus tickets closed per month on Aculocity QAD (monthly commitment met)</t>
        </is>
      </c>
      <c r="G2" s="13" t="inlineStr">
        <is>
          <t>4 closed (target 9)</t>
        </is>
      </c>
      <c r="H2" s="20" t="inlineStr">
        <is>
          <t>No</t>
        </is>
      </c>
      <c r="I2" s="16" t="inlineStr">
        <is>
          <t>Santosh_OKR_Checklist!A10</t>
        </is>
      </c>
      <c r="J2" s="13" t="inlineStr">
        <is>
          <t>Deliver 4 Helpdesk Plus tickets closed per month on Aculocity QAD (monthly commitment met)</t>
        </is>
      </c>
      <c r="K2" s="13" t="inlineStr">
        <is>
          <t>6 closed (target 12)</t>
        </is>
      </c>
      <c r="L2" s="20" t="inlineStr">
        <is>
          <t>No</t>
        </is>
      </c>
      <c r="M2" s="16" t="inlineStr">
        <is>
          <t>Santosh_OKR_Checklist!A15</t>
        </is>
      </c>
      <c r="N2" s="13" t="inlineStr">
        <is>
          <t>Deliver 5 Helpdesk Plus tickets closed per month on Aculocity QAD (monthly commitment met)</t>
        </is>
      </c>
      <c r="O2" s="1" t="inlineStr">
        <is>
          <t>8 closed (target 15)</t>
        </is>
      </c>
      <c r="P2" s="1" t="inlineStr">
        <is>
          <t>No</t>
        </is>
      </c>
      <c r="Q2" s="52" t="inlineStr">
        <is>
          <t>Q3-2026_Tickets!A1</t>
        </is>
      </c>
      <c r="R2" s="13" t="inlineStr">
        <is>
          <t>Deliver 6 Helpdesk Plus tickets closed per month on Aculocity QAD (monthly commitment met)</t>
        </is>
      </c>
      <c r="S2" s="1" t="n"/>
      <c r="T2" s="1" t="n"/>
      <c r="U2" s="16" t="inlineStr">
        <is>
          <t>Santosh_OKR_Checklist!A1</t>
        </is>
      </c>
    </row>
    <row r="3" ht="36" customHeight="1" s="42">
      <c r="A3" s="13" t="inlineStr">
        <is>
          <t>Quality</t>
        </is>
      </c>
      <c r="B3" s="53" t="n">
        <v>2021</v>
      </c>
      <c r="C3" s="13" t="inlineStr">
        <is>
          <t>Santosh</t>
        </is>
      </c>
      <c r="D3" s="14">
        <f>50/4*2</f>
        <v/>
      </c>
      <c r="E3" s="13" t="n">
        <v>2026</v>
      </c>
      <c r="F3" s="13" t="inlineStr">
        <is>
          <t>Quality Score card -&gt; &gt; 80% (rework/reopen &lt; 5%, Production Defect Leakage &lt; 1, PR rejection &lt; 10%, estimation deviation &lt; 10%; Process Adherence)</t>
        </is>
      </c>
      <c r="G3" s="13" t="inlineStr">
        <is>
          <t>Closed=4; defect-themes=0; rework-proxy=0 (0.0%)</t>
        </is>
      </c>
      <c r="H3" s="15" t="inlineStr">
        <is>
          <t>Yes</t>
        </is>
      </c>
      <c r="I3" s="16" t="inlineStr">
        <is>
          <t>Santosh_OKR_Checklist!A11</t>
        </is>
      </c>
      <c r="J3" s="13" t="inlineStr">
        <is>
          <t>Quality Score card -&gt; &gt; 80% (rework/reopen &lt; 5%, Production Defect Leakage &lt; 1, PR rejection &lt; 10%, estimation deviation &lt; 10%; Process Adherence)</t>
        </is>
      </c>
      <c r="K3" s="13" t="inlineStr">
        <is>
          <t>Closed=6; defect-themes=0; rework-proxy=0 (0.0%)</t>
        </is>
      </c>
      <c r="L3" s="15" t="inlineStr">
        <is>
          <t>Yes</t>
        </is>
      </c>
      <c r="M3" s="16" t="inlineStr">
        <is>
          <t>Santosh_OKR_Checklist!A16</t>
        </is>
      </c>
      <c r="N3" s="13" t="inlineStr">
        <is>
          <t>Quality Score card -&gt; &gt; 80% (rework/reopen &lt; 5%, Production Defect Leakage &lt; 1, PR rejection &lt; 10%, estimation deviation &lt; 10%; Process Adherence)</t>
        </is>
      </c>
      <c r="O3" s="1" t="inlineStr">
        <is>
          <t>Closed=8; defect-themes=3; rework-proxy=0 (0.0%)</t>
        </is>
      </c>
      <c r="P3" s="1" t="inlineStr">
        <is>
          <t>Yes</t>
        </is>
      </c>
      <c r="Q3" s="52" t="inlineStr">
        <is>
          <t>Q3-2026_Ticket_Summary!A1</t>
        </is>
      </c>
      <c r="R3" s="13" t="inlineStr">
        <is>
          <t>Quality Score card -&gt; &gt; 80% (rework/reopen &lt; 5%, Production Defect Leakage &lt; 1, PR rejection &lt; 10%, estimation deviation &lt; 10%; Process Adherence)</t>
        </is>
      </c>
      <c r="S3" s="1" t="n"/>
      <c r="T3" s="1" t="n"/>
      <c r="U3" s="16" t="inlineStr">
        <is>
          <t>Santosh_OKR_Checklist!A1</t>
        </is>
      </c>
    </row>
    <row r="4" ht="36" customHeight="1" s="42">
      <c r="A4" s="13" t="inlineStr">
        <is>
          <t>L&amp;D</t>
        </is>
      </c>
      <c r="B4" s="53" t="n">
        <v>2021</v>
      </c>
      <c r="C4" s="13" t="inlineStr">
        <is>
          <t>Santosh</t>
        </is>
      </c>
      <c r="D4" s="14">
        <f>20/4*2</f>
        <v/>
      </c>
      <c r="E4" s="13" t="n">
        <v>2026</v>
      </c>
      <c r="F4" s="13" t="inlineStr">
        <is>
          <t>Python Fundamentals: Build a strong understanding of Python basics and demonstrate the ability to write simple Python programs.</t>
        </is>
      </c>
      <c r="G4" s="16" t="inlineStr">
        <is>
          <t>POC in Bitbucket: https://bitbucket.org/msnalashaa/performance-learning-development/src/main/2026/Santosh/</t>
        </is>
      </c>
      <c r="H4" s="15" t="inlineStr">
        <is>
          <t>Yes</t>
        </is>
      </c>
      <c r="I4" s="16" t="inlineStr">
        <is>
          <t>Santosh_OKR_Checklist!A14</t>
        </is>
      </c>
      <c r="J4" s="13" t="inlineStr">
        <is>
          <t>Python Application &amp; Basic Projects: Apply the Python knowledge gained in Quarter 1 to practical projects and demonstrate how Python is used in real scenarios.</t>
        </is>
      </c>
      <c r="K4" s="16" t="inlineStr">
        <is>
          <t>POC in Bitbucket: https://bitbucket.org/msnalashaa/performance-learning-development/src/main/2026/Santosh/</t>
        </is>
      </c>
      <c r="L4" s="15" t="inlineStr">
        <is>
          <t>Yes</t>
        </is>
      </c>
      <c r="M4" s="16" t="inlineStr">
        <is>
          <t>Santosh_OKR_Checklist!A19</t>
        </is>
      </c>
      <c r="N4" s="13" t="inlineStr">
        <is>
          <t>Complete 1 certifications/courses shared in email (or) achieve 85% by delivering at least 1 AI/Automation initiative during the quarter.</t>
        </is>
      </c>
      <c r="O4" s="1" t="inlineStr">
        <is>
          <t>Python automation POC for QAD purchase orders: validate open POs, classify discrete and schedule orders, and write a supplier summary. Demonstrated 15 Oct 2026. https://bitbucket.org/pranjan/performance-learning-development/src/main/2026/Santosh/Q3/</t>
        </is>
      </c>
      <c r="P4" s="1" t="inlineStr">
        <is>
          <t>Yes</t>
        </is>
      </c>
      <c r="Q4" s="16" t="inlineStr">
        <is>
          <t>Santosh_OKR_Checklist!A1</t>
        </is>
      </c>
      <c r="R4" s="13" t="inlineStr">
        <is>
          <t>Complete 1 certifications/courses shared in email (or) achieve 85% by delivering at least 1 AI/Automation initiative during the quarter.</t>
        </is>
      </c>
      <c r="S4" s="1" t="n"/>
      <c r="T4" s="1" t="n"/>
      <c r="U4" s="16" t="inlineStr">
        <is>
          <t>Santosh_OKR_Checklist!A1</t>
        </is>
      </c>
    </row>
    <row r="5" ht="30" customHeight="1" s="42">
      <c r="A5" s="7" t="n"/>
      <c r="C5" s="8" t="n"/>
      <c r="D5" s="8" t="n"/>
      <c r="E5" s="8" t="n"/>
      <c r="G5" s="7" t="n"/>
      <c r="H5" s="9" t="n"/>
      <c r="I5" s="3" t="n"/>
      <c r="K5" s="9" t="n"/>
      <c r="L5" s="9" t="n"/>
      <c r="M5" s="3" t="n"/>
      <c r="Q5" s="3" t="n"/>
      <c r="U5" s="3" t="n"/>
    </row>
    <row r="6">
      <c r="A6" s="17" t="inlineStr">
        <is>
          <t>Expected Score (2 Qtr)</t>
        </is>
      </c>
      <c r="B6" s="18">
        <f>SUM(D2:D4)</f>
        <v/>
      </c>
    </row>
    <row r="7" ht="30" customHeight="1" s="42">
      <c r="A7" s="17" t="inlineStr">
        <is>
          <t>Achieved</t>
        </is>
      </c>
      <c r="B7" s="18" t="n">
        <v>35</v>
      </c>
      <c r="C7" s="19" t="inlineStr">
        <is>
          <t>35 = Q1 17.5 + Q2 17.5. Yes = full quarter weight, No = 0. Each quarter matches Utkarsh: Execution 7.5 marked No (below the ticket target), Quality 12.5, L&amp;D 5. PR rejection = 0 and is Yes. Timesheets and stand-ups attended: https://helpdesk.gvwgroup.com/Timesheet.do</t>
        </is>
      </c>
    </row>
    <row r="8" ht="36" customHeight="1" s="42">
      <c r="A8" s="19" t="inlineStr">
        <is>
          <t>Expected = annual KPI weight / 4 x 2 quarters (Q1-2026 + Q2-2026). Achieved = OKR lines marked Yes (35 of the 50 checklist weight for 2026).</t>
        </is>
      </c>
    </row>
    <row r="9" ht="36" customHeight="1" s="42">
      <c r="A9" s="17" t="inlineStr">
        <is>
          <t>Total (2025 Achieved + 2026 Achieved)</t>
        </is>
      </c>
      <c r="B9" s="21">
        <f>KPI_2025!B8+B7</f>
        <v/>
      </c>
    </row>
    <row r="10" ht="60" customHeight="1" s="42"/>
  </sheetData>
  <hyperlinks>
    <hyperlink ref="I2" location="Santosh_OKR_Checklist!A10" display="Santosh_OKR_Checklist!A10"/>
    <hyperlink ref="M2" location="Santosh_OKR_Checklist!A15" display="Santosh_OKR_Checklist!A15"/>
    <hyperlink ref="Q2" location="Q3-2026_Tickets!A1" display="Q3-2026_Tickets!A1"/>
    <hyperlink ref="U2" location="Santosh_OKR_Checklist!A1" display="Santosh_OKR_Checklist!A1"/>
    <hyperlink ref="I3" location="Santosh_OKR_Checklist!A11" display="Santosh_OKR_Checklist!A11"/>
    <hyperlink ref="M3" location="Santosh_OKR_Checklist!A16" display="Santosh_OKR_Checklist!A16"/>
    <hyperlink ref="Q3" location="Q3-2026_Ticket_Summary!A1" display="Q3-2026_Ticket_Summary!A1"/>
    <hyperlink ref="U3" location="Santosh_OKR_Checklist!A1" display="Santosh_OKR_Checklist!A1"/>
    <hyperlink xmlns:r="http://schemas.openxmlformats.org/officeDocument/2006/relationships" ref="G4" r:id="rId1"/>
    <hyperlink ref="I4" location="Santosh_OKR_Checklist!A14" display="Santosh_OKR_Checklist!A14"/>
    <hyperlink xmlns:r="http://schemas.openxmlformats.org/officeDocument/2006/relationships" ref="K4" r:id="rId2"/>
    <hyperlink ref="M4" location="Santosh_OKR_Checklist!A19" display="Santosh_OKR_Checklist!A19"/>
    <hyperlink ref="Q4" location="Santosh_OKR_Checklist!A1" display="Santosh_OKR_Checklist!A1"/>
    <hyperlink ref="U4" location="Santosh_OKR_Checklist!A1" display="Santosh_OKR_Checklist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style="42" min="1" max="6"/>
    <col width="18" customWidth="1" style="42" min="7" max="7"/>
  </cols>
  <sheetData>
    <row r="1" ht="110.25" customHeight="1" s="42">
      <c r="A1" s="22" t="inlineStr">
        <is>
          <t>Santosh OKR weightage. Yes = full quarter weight of that KPI. No = 0.</t>
        </is>
      </c>
    </row>
    <row r="3" ht="21.95" customHeight="1" s="42">
      <c r="A3" s="11" t="inlineStr">
        <is>
          <t>KPI / Met?</t>
        </is>
      </c>
      <c r="B3" s="11" t="inlineStr">
        <is>
          <t>Q3-2025</t>
        </is>
      </c>
      <c r="C3" s="11" t="inlineStr">
        <is>
          <t>Q4-2025</t>
        </is>
      </c>
      <c r="D3" s="11" t="inlineStr">
        <is>
          <t>Q1-2026</t>
        </is>
      </c>
      <c r="E3" s="11" t="inlineStr">
        <is>
          <t>Q2-2026</t>
        </is>
      </c>
      <c r="F3" s="11" t="inlineStr">
        <is>
          <t>Grand Total</t>
        </is>
      </c>
    </row>
    <row r="4" ht="30" customHeight="1" s="42">
      <c r="A4" s="12" t="inlineStr">
        <is>
          <t>Project Delivery</t>
        </is>
      </c>
    </row>
    <row r="5">
      <c r="A5" s="12" t="inlineStr">
        <is>
          <t>Yes</t>
        </is>
      </c>
      <c r="B5" s="12" t="n">
        <v>12.5</v>
      </c>
      <c r="C5" s="12" t="n">
        <v>12.5</v>
      </c>
      <c r="F5" s="12" t="n">
        <v>25</v>
      </c>
    </row>
    <row r="6">
      <c r="A6" s="12" t="inlineStr">
        <is>
          <t>No</t>
        </is>
      </c>
    </row>
    <row r="7" ht="30" customHeight="1" s="42">
      <c r="A7" s="12" t="inlineStr">
        <is>
          <t>Process Adherance</t>
        </is>
      </c>
    </row>
    <row r="8">
      <c r="A8" s="12" t="inlineStr">
        <is>
          <t>Yes</t>
        </is>
      </c>
      <c r="B8" s="12" t="n">
        <v>3.75</v>
      </c>
      <c r="C8" s="12" t="n">
        <v>3.75</v>
      </c>
      <c r="F8" s="12" t="n">
        <v>7.5</v>
      </c>
    </row>
    <row r="9">
      <c r="A9" s="12" t="inlineStr">
        <is>
          <t>No</t>
        </is>
      </c>
    </row>
    <row r="10" ht="45" customHeight="1" s="42">
      <c r="A10" s="12" t="inlineStr">
        <is>
          <t>External Bug Count, Ticket Reopen</t>
        </is>
      </c>
    </row>
    <row r="11">
      <c r="A11" s="12" t="inlineStr">
        <is>
          <t>Yes</t>
        </is>
      </c>
      <c r="B11" s="12" t="n">
        <v>5</v>
      </c>
      <c r="C11" s="12" t="n">
        <v>5</v>
      </c>
      <c r="F11" s="12" t="n">
        <v>10</v>
      </c>
    </row>
    <row r="12">
      <c r="A12" s="12" t="inlineStr">
        <is>
          <t>No</t>
        </is>
      </c>
    </row>
    <row r="13">
      <c r="A13" s="12" t="inlineStr">
        <is>
          <t>Self Learning</t>
        </is>
      </c>
    </row>
    <row r="14">
      <c r="A14" s="12" t="inlineStr">
        <is>
          <t>Yes</t>
        </is>
      </c>
      <c r="B14" s="12" t="n">
        <v>3.75</v>
      </c>
      <c r="C14" s="12" t="n">
        <v>3.75</v>
      </c>
      <c r="F14" s="12" t="n">
        <v>7.5</v>
      </c>
    </row>
    <row r="15">
      <c r="A15" s="12" t="inlineStr">
        <is>
          <t>No</t>
        </is>
      </c>
    </row>
    <row r="16">
      <c r="A16" s="12" t="inlineStr">
        <is>
          <t>Execution</t>
        </is>
      </c>
    </row>
    <row r="17">
      <c r="A17" s="12" t="inlineStr">
        <is>
          <t>Yes</t>
        </is>
      </c>
    </row>
    <row r="18">
      <c r="A18" s="12" t="inlineStr">
        <is>
          <t>No</t>
        </is>
      </c>
      <c r="D18" s="12" t="inlineStr">
        <is>
          <t>7.5</t>
        </is>
      </c>
      <c r="E18" s="12" t="inlineStr">
        <is>
          <t>7.5</t>
        </is>
      </c>
      <c r="F18" s="12" t="inlineStr">
        <is>
          <t>15</t>
        </is>
      </c>
    </row>
    <row r="19">
      <c r="A19" s="12" t="inlineStr">
        <is>
          <t>Quality</t>
        </is>
      </c>
    </row>
    <row r="20">
      <c r="A20" s="12" t="inlineStr">
        <is>
          <t>Yes</t>
        </is>
      </c>
      <c r="D20" s="12" t="n">
        <v>12.5</v>
      </c>
      <c r="E20" s="12" t="n">
        <v>12.5</v>
      </c>
      <c r="F20" s="12" t="n">
        <v>25</v>
      </c>
    </row>
    <row r="21">
      <c r="A21" s="12" t="inlineStr">
        <is>
          <t>No</t>
        </is>
      </c>
    </row>
    <row r="22">
      <c r="A22" s="12" t="inlineStr">
        <is>
          <t>L&amp;D</t>
        </is>
      </c>
    </row>
    <row r="23">
      <c r="A23" s="12" t="inlineStr">
        <is>
          <t>Yes</t>
        </is>
      </c>
      <c r="D23" s="12" t="n">
        <v>5</v>
      </c>
      <c r="E23" s="12" t="n">
        <v>5</v>
      </c>
      <c r="F23" s="12" t="n">
        <v>10</v>
      </c>
    </row>
    <row r="24">
      <c r="A24" s="12" t="inlineStr">
        <is>
          <t>No</t>
        </is>
      </c>
    </row>
    <row r="25">
      <c r="A25" s="12" t="inlineStr">
        <is>
          <t>Grand Total</t>
        </is>
      </c>
      <c r="B25" s="12" t="n">
        <v>25</v>
      </c>
      <c r="C25" s="12" t="n">
        <v>25</v>
      </c>
      <c r="D25" s="12" t="n">
        <v>25</v>
      </c>
      <c r="E25" s="12" t="n">
        <v>25</v>
      </c>
      <c r="F25" s="12" t="n">
        <v>100</v>
      </c>
    </row>
    <row r="27">
      <c r="A27" s="12" t="inlineStr">
        <is>
          <t>Final score</t>
        </is>
      </c>
      <c r="B27" s="12" t="inlineStr">
        <is>
          <t>2025 achieved (Q3+Q4)</t>
        </is>
      </c>
      <c r="C27" s="12" t="n">
        <v>50</v>
      </c>
      <c r="D27" s="12" t="inlineStr">
        <is>
          <t>2026 achieved (Q1+Q2)</t>
        </is>
      </c>
      <c r="E27" s="12" t="n">
        <v>35</v>
      </c>
      <c r="F27" s="12" t="inlineStr">
        <is>
          <t>Total achieved</t>
        </is>
      </c>
      <c r="G27" s="12" t="n">
        <v>85</v>
      </c>
    </row>
    <row r="30" ht="30" customHeight="1" s="4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6" customWidth="1" style="42" min="1" max="1"/>
    <col width="14" customWidth="1" style="42" min="2" max="4"/>
  </cols>
  <sheetData>
    <row r="1" ht="94.5" customHeight="1" s="42">
      <c r="A1" s="22" t="inlineStr">
        <is>
          <t>Santosh OKR checklist summary. Yes takes the full line weight. No takes 0.</t>
        </is>
      </c>
    </row>
    <row r="3" ht="21.95" customHeight="1" s="42">
      <c r="A3" s="11" t="inlineStr">
        <is>
          <t>Quarter / KPI</t>
        </is>
      </c>
      <c r="B3" s="11" t="inlineStr">
        <is>
          <t>No</t>
        </is>
      </c>
      <c r="C3" s="11" t="inlineStr">
        <is>
          <t>Yes</t>
        </is>
      </c>
      <c r="D3" s="11" t="inlineStr">
        <is>
          <t>Grand Total</t>
        </is>
      </c>
    </row>
    <row r="4">
      <c r="A4" s="12" t="inlineStr">
        <is>
          <t>Q3-2025</t>
        </is>
      </c>
      <c r="C4" s="12" t="n">
        <v>25</v>
      </c>
      <c r="D4" s="12" t="n">
        <v>25</v>
      </c>
    </row>
    <row r="5" ht="30" customHeight="1" s="42">
      <c r="A5" s="12" t="inlineStr">
        <is>
          <t xml:space="preserve">  Project Delivery</t>
        </is>
      </c>
      <c r="C5" s="12" t="n">
        <v>12.5</v>
      </c>
      <c r="D5" s="12" t="n">
        <v>12.5</v>
      </c>
    </row>
    <row r="6" ht="30" customHeight="1" s="42">
      <c r="A6" s="12" t="inlineStr">
        <is>
          <t xml:space="preserve">  Process Adherance</t>
        </is>
      </c>
      <c r="C6" s="12" t="n">
        <v>3.75</v>
      </c>
      <c r="D6" s="12" t="n">
        <v>3.75</v>
      </c>
    </row>
    <row r="7" ht="45" customHeight="1" s="42">
      <c r="A7" s="12" t="inlineStr">
        <is>
          <t xml:space="preserve">  External Bug Count, Ticket Reopen</t>
        </is>
      </c>
      <c r="C7" s="12" t="n">
        <v>5</v>
      </c>
      <c r="D7" s="12" t="n">
        <v>5</v>
      </c>
    </row>
    <row r="8">
      <c r="A8" s="12" t="inlineStr">
        <is>
          <t xml:space="preserve">  Self Learning</t>
        </is>
      </c>
      <c r="C8" s="12" t="n">
        <v>3.75</v>
      </c>
      <c r="D8" s="12" t="n">
        <v>3.75</v>
      </c>
    </row>
    <row r="9">
      <c r="A9" s="12" t="inlineStr">
        <is>
          <t>Q4-2025</t>
        </is>
      </c>
      <c r="C9" s="12" t="n">
        <v>25</v>
      </c>
      <c r="D9" s="12" t="n">
        <v>25</v>
      </c>
    </row>
    <row r="10" ht="30" customHeight="1" s="42">
      <c r="A10" s="12" t="inlineStr">
        <is>
          <t xml:space="preserve">  Project Delivery</t>
        </is>
      </c>
      <c r="C10" s="12" t="n">
        <v>12.5</v>
      </c>
      <c r="D10" s="12" t="n">
        <v>12.5</v>
      </c>
    </row>
    <row r="11" ht="30" customHeight="1" s="42">
      <c r="A11" s="12" t="inlineStr">
        <is>
          <t xml:space="preserve">  Process Adherance</t>
        </is>
      </c>
      <c r="C11" s="12" t="n">
        <v>3.75</v>
      </c>
      <c r="D11" s="12" t="n">
        <v>3.75</v>
      </c>
    </row>
    <row r="12" ht="45" customHeight="1" s="42">
      <c r="A12" s="12" t="inlineStr">
        <is>
          <t xml:space="preserve">  External Bug Count, Ticket Reopen</t>
        </is>
      </c>
      <c r="C12" s="12" t="n">
        <v>5</v>
      </c>
      <c r="D12" s="12" t="n">
        <v>5</v>
      </c>
    </row>
    <row r="13">
      <c r="A13" s="12" t="inlineStr">
        <is>
          <t xml:space="preserve">  Self Learning</t>
        </is>
      </c>
      <c r="C13" s="12" t="n">
        <v>3.75</v>
      </c>
      <c r="D13" s="12" t="n">
        <v>3.75</v>
      </c>
    </row>
    <row r="14">
      <c r="A14" s="12" t="inlineStr">
        <is>
          <t>Q1-2026</t>
        </is>
      </c>
      <c r="B14" s="12" t="n">
        <v>7.5</v>
      </c>
      <c r="C14" s="12" t="n">
        <v>17.5</v>
      </c>
      <c r="D14" s="12" t="n">
        <v>25</v>
      </c>
    </row>
    <row r="15">
      <c r="A15" s="12" t="inlineStr">
        <is>
          <t xml:space="preserve">  Execution</t>
        </is>
      </c>
      <c r="B15" s="12" t="n">
        <v>7.5</v>
      </c>
      <c r="D15" s="12" t="n">
        <v>7.5</v>
      </c>
    </row>
    <row r="16">
      <c r="A16" s="12" t="inlineStr">
        <is>
          <t xml:space="preserve">  Quality</t>
        </is>
      </c>
      <c r="C16" s="12" t="n">
        <v>12.5</v>
      </c>
      <c r="D16" s="12" t="n">
        <v>12.5</v>
      </c>
    </row>
    <row r="17">
      <c r="A17" s="12" t="inlineStr">
        <is>
          <t xml:space="preserve">  L&amp;D</t>
        </is>
      </c>
      <c r="C17" s="12" t="n">
        <v>5</v>
      </c>
      <c r="D17" s="12" t="n">
        <v>5</v>
      </c>
    </row>
    <row r="18">
      <c r="A18" s="12" t="inlineStr">
        <is>
          <t>Q2-2026</t>
        </is>
      </c>
      <c r="B18" s="12" t="n">
        <v>7.5</v>
      </c>
      <c r="C18" s="12" t="n">
        <v>17.5</v>
      </c>
      <c r="D18" s="12" t="n">
        <v>25</v>
      </c>
    </row>
    <row r="19">
      <c r="A19" s="12" t="inlineStr">
        <is>
          <t xml:space="preserve">  Execution</t>
        </is>
      </c>
      <c r="B19" s="12" t="n">
        <v>7.5</v>
      </c>
      <c r="D19" s="12" t="n">
        <v>7.5</v>
      </c>
    </row>
    <row r="20">
      <c r="A20" s="12" t="inlineStr">
        <is>
          <t xml:space="preserve">  Quality</t>
        </is>
      </c>
      <c r="C20" s="12" t="n">
        <v>12.5</v>
      </c>
      <c r="D20" s="12" t="n">
        <v>12.5</v>
      </c>
    </row>
    <row r="21">
      <c r="A21" s="12" t="inlineStr">
        <is>
          <t xml:space="preserve">  L&amp;D</t>
        </is>
      </c>
      <c r="C21" s="12" t="n">
        <v>5</v>
      </c>
      <c r="D21" s="12" t="n">
        <v>5</v>
      </c>
    </row>
    <row r="22">
      <c r="A22" s="12" t="inlineStr">
        <is>
          <t>Grand Total</t>
        </is>
      </c>
      <c r="B22" s="12" t="n">
        <v>15</v>
      </c>
      <c r="C22" s="12" t="n">
        <v>85</v>
      </c>
      <c r="D22" s="1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F5" sqref="F5"/>
    </sheetView>
  </sheetViews>
  <sheetFormatPr baseColWidth="8" defaultRowHeight="15"/>
  <cols>
    <col width="16" customWidth="1" style="42" min="1" max="1"/>
    <col width="14" customWidth="1" style="42" min="2" max="2"/>
    <col width="15" customWidth="1" style="42" min="3" max="3"/>
    <col width="14" customWidth="1" style="42" min="4" max="5"/>
    <col width="19" customWidth="1" style="42" min="6" max="6"/>
    <col width="14" customWidth="1" style="42" min="7" max="8"/>
    <col width="23" customWidth="1" style="42" min="9" max="9"/>
    <col width="16" customWidth="1" style="42" min="10" max="10"/>
  </cols>
  <sheetData>
    <row r="1" ht="21.95" customHeight="1" s="42">
      <c r="A1" s="11" t="inlineStr">
        <is>
          <t>Employee Name</t>
        </is>
      </c>
      <c r="B1" s="11" t="inlineStr">
        <is>
          <t>Quarter</t>
        </is>
      </c>
      <c r="C1" s="11" t="inlineStr">
        <is>
          <t>KPI Affected</t>
        </is>
      </c>
      <c r="D1" s="11" t="inlineStr">
        <is>
          <t>OKR Met?</t>
        </is>
      </c>
      <c r="E1" s="11" t="inlineStr">
        <is>
          <t>Weightage</t>
        </is>
      </c>
      <c r="F1" s="11" t="inlineStr">
        <is>
          <t>Artifacts to OKR</t>
        </is>
      </c>
      <c r="G1" s="11" t="inlineStr">
        <is>
          <t>Other Links</t>
        </is>
      </c>
      <c r="H1" s="11" t="inlineStr">
        <is>
          <t>OKRs</t>
        </is>
      </c>
      <c r="I1" s="11" t="inlineStr">
        <is>
          <t>Deliverable Expected</t>
        </is>
      </c>
      <c r="J1" s="11" t="inlineStr">
        <is>
          <t>Evidence Note</t>
        </is>
      </c>
    </row>
    <row r="2" ht="36" customHeight="1" s="42">
      <c r="A2" s="13" t="inlineStr">
        <is>
          <t>Santosh</t>
        </is>
      </c>
      <c r="B2" s="13" t="inlineStr">
        <is>
          <t>Q3-2025</t>
        </is>
      </c>
      <c r="C2" s="13" t="inlineStr">
        <is>
          <t>Project Delivery</t>
        </is>
      </c>
      <c r="D2" s="15" t="inlineStr">
        <is>
          <t>Yes</t>
        </is>
      </c>
      <c r="E2" s="13" t="n">
        <v>12.5</v>
      </c>
      <c r="F2" s="16" t="inlineStr">
        <is>
          <t>Ticket_Velocity!A1</t>
        </is>
      </c>
      <c r="G2" s="16" t="inlineStr">
        <is>
          <t>Q3-2025_Tickets!A1</t>
        </is>
      </c>
      <c r="H2" s="13" t="inlineStr">
        <is>
          <t>Timely Delivery of QAD/Helpdesk tickets incl. setup &amp; config and Progress/code changes</t>
        </is>
      </c>
      <c r="I2" s="13" t="inlineStr">
        <is>
          <t>Closed tickets vs target 9/quarter</t>
        </is>
      </c>
      <c r="J2" s="13" t="inlineStr">
        <is>
          <t>Master: total=11 closed=9</t>
        </is>
      </c>
    </row>
    <row r="3" ht="36" customHeight="1" s="42">
      <c r="A3" s="13" t="inlineStr">
        <is>
          <t>Santosh</t>
        </is>
      </c>
      <c r="B3" s="13" t="inlineStr">
        <is>
          <t>Q3-2025</t>
        </is>
      </c>
      <c r="C3" s="13" t="inlineStr">
        <is>
          <t>Process Adherance</t>
        </is>
      </c>
      <c r="D3" s="15" t="inlineStr">
        <is>
          <t>Yes</t>
        </is>
      </c>
      <c r="E3" s="13" t="n">
        <v>3.75</v>
      </c>
      <c r="F3" s="16" t="inlineStr">
        <is>
          <t>Helpdesk_Discipline!A1</t>
        </is>
      </c>
      <c r="G3" s="16" t="inlineStr">
        <is>
          <t>https://helpdesk.gvwgroup.com/Timesheet.do</t>
        </is>
      </c>
      <c r="H3" s="13" t="inlineStr">
        <is>
          <t>Helpdesk/QAD hygiene — status updates, worklogs, change control on owned tickets</t>
        </is>
      </c>
      <c r="I3" s="13" t="inlineStr">
        <is>
          <t>Process checklist &gt;=90%</t>
        </is>
      </c>
      <c r="J3" s="13" t="inlineStr">
        <is>
          <t>Tickets=11; closed=9 | All timesheets submitted and stand-up meetings scheduled and attended. Review Aculocity Helpdesk for more information: https://helpdesk.gvwgroup.com/Timesheet.do</t>
        </is>
      </c>
    </row>
    <row r="4" ht="48" customHeight="1" s="42">
      <c r="A4" s="13" t="inlineStr">
        <is>
          <t>Santosh</t>
        </is>
      </c>
      <c r="B4" s="13" t="inlineStr">
        <is>
          <t>Q3-2025</t>
        </is>
      </c>
      <c r="C4" s="13" t="inlineStr">
        <is>
          <t>External Bug Count, Ticket Reopen</t>
        </is>
      </c>
      <c r="D4" s="15" t="inlineStr">
        <is>
          <t>Yes</t>
        </is>
      </c>
      <c r="E4" s="13" t="n">
        <v>5</v>
      </c>
      <c r="F4" s="16" t="inlineStr">
        <is>
          <t>Customer_Defect_Themes!A1</t>
        </is>
      </c>
      <c r="G4" s="16" t="inlineStr">
        <is>
          <t>Rework_Reopen_Proxy!A1</t>
        </is>
      </c>
      <c r="H4" s="13" t="inlineStr">
        <is>
          <t>Client-reported external defects = 0. Threshold is 4 or fewer. Achieved.</t>
        </is>
      </c>
      <c r="I4" s="13" t="inlineStr">
        <is>
          <t>Defect themes + rework proxy</t>
        </is>
      </c>
      <c r="J4" s="13" t="inlineStr">
        <is>
          <t>No client-reported defect was recorded. External Bug Count is Yes.</t>
        </is>
      </c>
    </row>
    <row r="5" ht="48" customHeight="1" s="42">
      <c r="A5" s="13" t="inlineStr">
        <is>
          <t>Santosh</t>
        </is>
      </c>
      <c r="B5" s="13" t="inlineStr">
        <is>
          <t>Q3-2025</t>
        </is>
      </c>
      <c r="C5" s="13" t="inlineStr">
        <is>
          <t>Self Learning</t>
        </is>
      </c>
      <c r="D5" s="15" t="inlineStr">
        <is>
          <t>Yes</t>
        </is>
      </c>
      <c r="E5" s="13" t="n">
        <v>3.75</v>
      </c>
      <c r="F5" s="16" t="inlineStr">
        <is>
          <t>Learning_Evidence!A1</t>
        </is>
      </c>
      <c r="G5" s="1" t="n"/>
      <c r="H5" s="13" t="inlineStr">
        <is>
          <t>1 POC — Progress/QAD applied learning</t>
        </is>
      </c>
      <c r="I5" s="13" t="inlineStr">
        <is>
          <t>Learning note / POC</t>
        </is>
      </c>
      <c r="J5" s="13" t="inlineStr">
        <is>
          <t>See Learning_Evidence</t>
        </is>
      </c>
    </row>
    <row r="6" ht="36" customHeight="1" s="42">
      <c r="A6" s="13" t="inlineStr">
        <is>
          <t>Santosh</t>
        </is>
      </c>
      <c r="B6" s="13" t="inlineStr">
        <is>
          <t>Q4-2025</t>
        </is>
      </c>
      <c r="C6" s="13" t="inlineStr">
        <is>
          <t>Project Delivery</t>
        </is>
      </c>
      <c r="D6" s="15" t="inlineStr">
        <is>
          <t>Yes</t>
        </is>
      </c>
      <c r="E6" s="13" t="n">
        <v>12.5</v>
      </c>
      <c r="F6" s="16" t="inlineStr">
        <is>
          <t>Ticket_Velocity!A1</t>
        </is>
      </c>
      <c r="G6" s="16" t="inlineStr">
        <is>
          <t>Q4-2025_Tickets!A1</t>
        </is>
      </c>
      <c r="H6" s="13" t="inlineStr">
        <is>
          <t>Timely Delivery of QAD/Helpdesk tickets incl. setup &amp; config and Progress/code changes</t>
        </is>
      </c>
      <c r="I6" s="13" t="inlineStr">
        <is>
          <t>Closed tickets vs target 9/quarter</t>
        </is>
      </c>
      <c r="J6" s="13" t="inlineStr">
        <is>
          <t>Master: total=9 closed=8</t>
        </is>
      </c>
    </row>
    <row r="7" ht="36" customHeight="1" s="42">
      <c r="A7" s="13" t="inlineStr">
        <is>
          <t>Santosh</t>
        </is>
      </c>
      <c r="B7" s="13" t="inlineStr">
        <is>
          <t>Q4-2025</t>
        </is>
      </c>
      <c r="C7" s="13" t="inlineStr">
        <is>
          <t>Process Adherance</t>
        </is>
      </c>
      <c r="D7" s="15" t="inlineStr">
        <is>
          <t>Yes</t>
        </is>
      </c>
      <c r="E7" s="13" t="n">
        <v>3.75</v>
      </c>
      <c r="F7" s="16" t="inlineStr">
        <is>
          <t>Helpdesk_Discipline!A1</t>
        </is>
      </c>
      <c r="G7" s="16" t="inlineStr">
        <is>
          <t>https://helpdesk.gvwgroup.com/Timesheet.do</t>
        </is>
      </c>
      <c r="H7" s="13" t="inlineStr">
        <is>
          <t>Helpdesk/QAD hygiene — status updates, worklogs, change control on owned tickets</t>
        </is>
      </c>
      <c r="I7" s="13" t="inlineStr">
        <is>
          <t>Process checklist &gt;=90%</t>
        </is>
      </c>
      <c r="J7" s="13" t="inlineStr">
        <is>
          <t>Tickets=9; closed=8 | All timesheets submitted and stand-up meetings scheduled and attended. Review Aculocity Helpdesk for more information: https://helpdesk.gvwgroup.com/Timesheet.do</t>
        </is>
      </c>
    </row>
    <row r="8" ht="48" customHeight="1" s="42">
      <c r="A8" s="13" t="inlineStr">
        <is>
          <t>Santosh</t>
        </is>
      </c>
      <c r="B8" s="13" t="inlineStr">
        <is>
          <t>Q4-2025</t>
        </is>
      </c>
      <c r="C8" s="13" t="inlineStr">
        <is>
          <t>External Bug Count, Ticket Reopen</t>
        </is>
      </c>
      <c r="D8" s="15" t="inlineStr">
        <is>
          <t>Yes</t>
        </is>
      </c>
      <c r="E8" s="13" t="n">
        <v>5</v>
      </c>
      <c r="F8" s="16" t="inlineStr">
        <is>
          <t>Customer_Defect_Themes!A1</t>
        </is>
      </c>
      <c r="G8" s="16" t="inlineStr">
        <is>
          <t>Rework_Reopen_Proxy!A1</t>
        </is>
      </c>
      <c r="H8" s="13" t="inlineStr">
        <is>
          <t>Client-reported external defects = 0. Threshold is 4 or fewer. Achieved.</t>
        </is>
      </c>
      <c r="I8" s="13" t="inlineStr">
        <is>
          <t>Defect themes + rework proxy</t>
        </is>
      </c>
      <c r="J8" s="13" t="inlineStr">
        <is>
          <t>No client-reported defect was recorded. External Bug Count is Yes.</t>
        </is>
      </c>
    </row>
    <row r="9" ht="48" customHeight="1" s="42">
      <c r="A9" s="13" t="inlineStr">
        <is>
          <t>Santosh</t>
        </is>
      </c>
      <c r="B9" s="13" t="inlineStr">
        <is>
          <t>Q4-2025</t>
        </is>
      </c>
      <c r="C9" s="13" t="inlineStr">
        <is>
          <t>Self Learning</t>
        </is>
      </c>
      <c r="D9" s="15" t="inlineStr">
        <is>
          <t>Yes</t>
        </is>
      </c>
      <c r="E9" s="13" t="n">
        <v>3.75</v>
      </c>
      <c r="F9" s="16" t="inlineStr">
        <is>
          <t>Learning_Evidence!A1</t>
        </is>
      </c>
      <c r="G9" s="1" t="n"/>
      <c r="H9" s="13" t="inlineStr">
        <is>
          <t>1 POC — Progress/QAD applied learning</t>
        </is>
      </c>
      <c r="I9" s="13" t="inlineStr">
        <is>
          <t>Learning note / POC</t>
        </is>
      </c>
      <c r="J9" s="13" t="inlineStr">
        <is>
          <t>See Learning_Evidence</t>
        </is>
      </c>
    </row>
    <row r="10" ht="36" customHeight="1" s="42">
      <c r="A10" s="13" t="inlineStr">
        <is>
          <t>Santosh</t>
        </is>
      </c>
      <c r="B10" s="13" t="inlineStr">
        <is>
          <t>Q1-2026</t>
        </is>
      </c>
      <c r="C10" s="13" t="inlineStr">
        <is>
          <t>Execution</t>
        </is>
      </c>
      <c r="D10" s="23" t="inlineStr">
        <is>
          <t>No</t>
        </is>
      </c>
      <c r="E10" s="13" t="n">
        <v>7.5</v>
      </c>
      <c r="F10" s="16" t="inlineStr">
        <is>
          <t>Ticket_Velocity!A1</t>
        </is>
      </c>
      <c r="G10" s="16" t="inlineStr">
        <is>
          <t>Q1-2026_Tickets!A1</t>
        </is>
      </c>
      <c r="H10" s="13" t="inlineStr">
        <is>
          <t>Deliver 3 Helpdesk Plus tickets closed per month on Aculocity QAD (monthly commitment met)</t>
        </is>
      </c>
      <c r="I10" s="13" t="inlineStr">
        <is>
          <t>9 closed/quarter (3/month)</t>
        </is>
      </c>
      <c r="J10" s="13" t="inlineStr">
        <is>
          <t>Master: total=4 closed=4 (target 9)</t>
        </is>
      </c>
    </row>
    <row r="11" ht="36" customHeight="1" s="42">
      <c r="A11" s="13" t="inlineStr">
        <is>
          <t>Santosh</t>
        </is>
      </c>
      <c r="B11" s="13" t="inlineStr">
        <is>
          <t>Q1-2026</t>
        </is>
      </c>
      <c r="C11" s="13" t="inlineStr">
        <is>
          <t>Quality</t>
        </is>
      </c>
      <c r="D11" s="15" t="inlineStr">
        <is>
          <t>Yes</t>
        </is>
      </c>
      <c r="E11" s="13" t="n">
        <v>8</v>
      </c>
      <c r="F11" s="16" t="inlineStr">
        <is>
          <t>Customer_Defect_Themes!A1</t>
        </is>
      </c>
      <c r="G11" s="16" t="inlineStr">
        <is>
          <t>Q1-2026_Ticket_Summary!A1</t>
        </is>
      </c>
      <c r="H11" s="13" t="inlineStr">
        <is>
          <t>Quality Score card -&gt; &gt; 80% (rework/reopen &lt; 5%, Production Defect Leakage &lt; 1, estimation deviation &lt; 10%; PR rejection = 0% (&lt;10%).</t>
        </is>
      </c>
      <c r="I11" s="13" t="inlineStr">
        <is>
          <t>Quality scorecard proxies on Helpdesk/QAD tickets</t>
        </is>
      </c>
      <c r="J11" s="13" t="inlineStr">
        <is>
          <t>Themes=0; Rework=0 (0.0%) | PR rejection = 0% (CodeChange_Summary).</t>
        </is>
      </c>
    </row>
    <row r="12" ht="48" customHeight="1" s="42">
      <c r="A12" s="12" t="inlineStr">
        <is>
          <t>Santosh</t>
        </is>
      </c>
      <c r="B12" s="12" t="inlineStr">
        <is>
          <t>Q1-2026</t>
        </is>
      </c>
      <c r="C12" s="12" t="inlineStr">
        <is>
          <t>Quality</t>
        </is>
      </c>
      <c r="D12" s="24" t="inlineStr">
        <is>
          <t>Yes</t>
        </is>
      </c>
      <c r="E12" s="12" t="n">
        <v>2</v>
      </c>
      <c r="F12" s="16" t="inlineStr">
        <is>
          <t>CodeChange_Summary!A1</t>
        </is>
      </c>
      <c r="G12" s="12" t="inlineStr">
        <is>
          <t>Rework_Reopen_Proxy!A1</t>
        </is>
      </c>
      <c r="H12" s="12" t="inlineStr">
        <is>
          <t>PR rejection = 0 (0%). Threshold is &lt;10%. See CodeChange_Summary.</t>
        </is>
      </c>
      <c r="I12" s="12" t="inlineStr">
        <is>
          <t>CodeChange_Summary — PR Rejection % = 0</t>
        </is>
      </c>
      <c r="J12" s="12" t="inlineStr">
        <is>
          <t>0 PR rejections recorded. Achieved.</t>
        </is>
      </c>
    </row>
    <row r="13" ht="36" customHeight="1" s="42">
      <c r="A13" s="13" t="inlineStr">
        <is>
          <t>Santosh</t>
        </is>
      </c>
      <c r="B13" s="13" t="inlineStr">
        <is>
          <t>Q1-2026</t>
        </is>
      </c>
      <c r="C13" s="13" t="inlineStr">
        <is>
          <t>Quality</t>
        </is>
      </c>
      <c r="D13" s="25" t="inlineStr">
        <is>
          <t>Yes</t>
        </is>
      </c>
      <c r="E13" s="13" t="n">
        <v>2.5</v>
      </c>
      <c r="F13" s="16" t="inlineStr">
        <is>
          <t>Helpdesk_Discipline!A1</t>
        </is>
      </c>
      <c r="G13" s="16" t="inlineStr">
        <is>
          <t>https://helpdesk.gvwgroup.com/Timesheet.do</t>
        </is>
      </c>
      <c r="H13" s="13" t="inlineStr">
        <is>
          <t>Process Adherence on Quality: Timely comments; worklogs; resolution on closure</t>
        </is>
      </c>
      <c r="I13" s="13" t="inlineStr">
        <is>
          <t>Process adherence &gt;=90%</t>
        </is>
      </c>
      <c r="J13" s="13" t="inlineStr">
        <is>
          <t>Tickets=4; closed=4 | All timesheets submitted and stand-up meetings scheduled and attended. Review Aculocity Helpdesk for more information: https://helpdesk.gvwgroup.com/Timesheet.do</t>
        </is>
      </c>
    </row>
    <row r="14" ht="36" customHeight="1" s="42">
      <c r="A14" s="13" t="inlineStr">
        <is>
          <t>Santosh</t>
        </is>
      </c>
      <c r="B14" s="13" t="inlineStr">
        <is>
          <t>Q1-2026</t>
        </is>
      </c>
      <c r="C14" s="13" t="inlineStr">
        <is>
          <t>L&amp;D</t>
        </is>
      </c>
      <c r="D14" s="25" t="inlineStr">
        <is>
          <t>Yes</t>
        </is>
      </c>
      <c r="E14" s="13" t="n">
        <v>5</v>
      </c>
      <c r="F14" s="16" t="inlineStr">
        <is>
          <t>Learning_Evidence!A1</t>
        </is>
      </c>
      <c r="G14" s="16" t="inlineStr">
        <is>
          <t>https://bitbucket.org/msnalashaa/performance-learning-development/src/main/2026/Santosh/</t>
        </is>
      </c>
      <c r="H14" s="13" t="inlineStr">
        <is>
          <t>Python Fundamentals: Build a strong understanding of Python basics and demonstrate the ability to write simple Python programs.</t>
        </is>
      </c>
      <c r="I14" s="13" t="inlineStr">
        <is>
          <t>Python learning evidence</t>
        </is>
      </c>
      <c r="J14" s="13" t="inlineStr">
        <is>
          <t>POC committed: https://bitbucket.org/msnalashaa/performance-learning-development/src/main/2026/Santosh/</t>
        </is>
      </c>
    </row>
    <row r="15" ht="36" customHeight="1" s="42">
      <c r="A15" s="13" t="inlineStr">
        <is>
          <t>Santosh</t>
        </is>
      </c>
      <c r="B15" s="13" t="inlineStr">
        <is>
          <t>Q2-2026</t>
        </is>
      </c>
      <c r="C15" s="13" t="inlineStr">
        <is>
          <t>Execution</t>
        </is>
      </c>
      <c r="D15" s="23" t="inlineStr">
        <is>
          <t>No</t>
        </is>
      </c>
      <c r="E15" s="13" t="n">
        <v>7.5</v>
      </c>
      <c r="F15" s="16" t="inlineStr">
        <is>
          <t>Ticket_Velocity!A1</t>
        </is>
      </c>
      <c r="G15" s="16" t="inlineStr">
        <is>
          <t>Q2-2026_Tickets!A1</t>
        </is>
      </c>
      <c r="H15" s="13" t="inlineStr">
        <is>
          <t>Deliver 4 Helpdesk Plus tickets closed per month on Aculocity QAD (monthly commitment met)</t>
        </is>
      </c>
      <c r="I15" s="13" t="inlineStr">
        <is>
          <t>12 closed/quarter (4/month)</t>
        </is>
      </c>
      <c r="J15" s="13" t="inlineStr">
        <is>
          <t>Master: total=7 closed=6 (target 12)</t>
        </is>
      </c>
    </row>
    <row r="16" ht="36" customHeight="1" s="42">
      <c r="A16" s="13" t="inlineStr">
        <is>
          <t>Santosh</t>
        </is>
      </c>
      <c r="B16" s="13" t="inlineStr">
        <is>
          <t>Q2-2026</t>
        </is>
      </c>
      <c r="C16" s="13" t="inlineStr">
        <is>
          <t>Quality</t>
        </is>
      </c>
      <c r="D16" s="15" t="inlineStr">
        <is>
          <t>Yes</t>
        </is>
      </c>
      <c r="E16" s="13" t="n">
        <v>8</v>
      </c>
      <c r="F16" s="16" t="inlineStr">
        <is>
          <t>Customer_Defect_Themes!A1</t>
        </is>
      </c>
      <c r="G16" s="16" t="inlineStr">
        <is>
          <t>Q2-2026_Ticket_Summary!A1</t>
        </is>
      </c>
      <c r="H16" s="13" t="inlineStr">
        <is>
          <t>Quality Score card -&gt; &gt; 80% (rework/reopen &lt; 5%, Production Defect Leakage &lt; 1, estimation deviation &lt; 10%; PR rejection = 0% (&lt;10%).</t>
        </is>
      </c>
      <c r="I16" s="13" t="inlineStr">
        <is>
          <t>Quality scorecard proxies on Helpdesk/QAD tickets</t>
        </is>
      </c>
      <c r="J16" s="13" t="inlineStr">
        <is>
          <t>Themes=0; Rework=0 (0.0%) | PR rejection = 0% (CodeChange_Summary).</t>
        </is>
      </c>
    </row>
    <row r="17" ht="36" customHeight="1" s="42">
      <c r="A17" s="12" t="inlineStr">
        <is>
          <t>Santosh</t>
        </is>
      </c>
      <c r="B17" s="12" t="inlineStr">
        <is>
          <t>Q2-2026</t>
        </is>
      </c>
      <c r="C17" s="12" t="inlineStr">
        <is>
          <t>Quality</t>
        </is>
      </c>
      <c r="D17" s="24" t="inlineStr">
        <is>
          <t>Yes</t>
        </is>
      </c>
      <c r="E17" s="12" t="n">
        <v>2</v>
      </c>
      <c r="F17" s="16" t="inlineStr">
        <is>
          <t>CodeChange_Summary!A1</t>
        </is>
      </c>
      <c r="G17" s="12" t="inlineStr">
        <is>
          <t>https://bitbucket.org/msnalashaa/performance-learning-development/src/main/2026/Santosh/</t>
        </is>
      </c>
      <c r="H17" s="12" t="inlineStr">
        <is>
          <t>PR rejection = 0 (0%). Threshold is &lt;10%. See CodeChange_Summary.</t>
        </is>
      </c>
      <c r="I17" s="12" t="inlineStr">
        <is>
          <t>CodeChange_Summary — PR Rejection % = 0</t>
        </is>
      </c>
      <c r="J17" s="12" t="inlineStr">
        <is>
          <t>0 PR rejections recorded. Achieved.</t>
        </is>
      </c>
    </row>
    <row r="18" ht="36" customHeight="1" s="42">
      <c r="A18" s="13" t="inlineStr">
        <is>
          <t>Santosh</t>
        </is>
      </c>
      <c r="B18" s="13" t="inlineStr">
        <is>
          <t>Q2-2026</t>
        </is>
      </c>
      <c r="C18" s="13" t="inlineStr">
        <is>
          <t>Quality</t>
        </is>
      </c>
      <c r="D18" s="25" t="inlineStr">
        <is>
          <t>Yes</t>
        </is>
      </c>
      <c r="E18" s="13" t="n">
        <v>2.5</v>
      </c>
      <c r="F18" s="16" t="inlineStr">
        <is>
          <t>Helpdesk_Discipline!A1</t>
        </is>
      </c>
      <c r="G18" s="16" t="inlineStr">
        <is>
          <t>https://helpdesk.gvwgroup.com/Timesheet.do</t>
        </is>
      </c>
      <c r="H18" s="13" t="inlineStr">
        <is>
          <t>Process Adherence on Quality: Timely comments; worklogs; resolution on closure</t>
        </is>
      </c>
      <c r="I18" s="13" t="inlineStr">
        <is>
          <t>Process adherence &gt;=90%</t>
        </is>
      </c>
      <c r="J18" s="13" t="inlineStr">
        <is>
          <t>Tickets=7; closed=6 | All timesheets submitted and stand-up meetings scheduled and attended. Review Aculocity Helpdesk for more information: https://helpdesk.gvwgroup.com/Timesheet.do</t>
        </is>
      </c>
    </row>
    <row r="19" ht="36" customHeight="1" s="42">
      <c r="A19" s="13" t="inlineStr">
        <is>
          <t>Santosh</t>
        </is>
      </c>
      <c r="B19" s="13" t="inlineStr">
        <is>
          <t>Q2-2026</t>
        </is>
      </c>
      <c r="C19" s="13" t="inlineStr">
        <is>
          <t>L&amp;D</t>
        </is>
      </c>
      <c r="D19" s="25" t="inlineStr">
        <is>
          <t>Yes</t>
        </is>
      </c>
      <c r="E19" s="13" t="n">
        <v>5</v>
      </c>
      <c r="F19" s="16" t="inlineStr">
        <is>
          <t>Learning_Evidence!A1</t>
        </is>
      </c>
      <c r="G19" s="16" t="inlineStr">
        <is>
          <t>https://bitbucket.org/msnalashaa/performance-learning-development/src/main/2026/Santosh/</t>
        </is>
      </c>
      <c r="H19" s="13" t="inlineStr">
        <is>
          <t>Python Application &amp; Basic Projects: Apply the Python knowledge gained in Quarter 1 to practical projects and demonstrate how Python is used in real scenarios.</t>
        </is>
      </c>
      <c r="I19" s="13" t="inlineStr">
        <is>
          <t>Python learning evidence</t>
        </is>
      </c>
      <c r="J19" s="13" t="inlineStr">
        <is>
          <t>POC committed: https://bitbucket.org/msnalashaa/performance-learning-development/src/main/2026/Santosh/</t>
        </is>
      </c>
    </row>
    <row r="20" ht="36" customHeight="1" s="42"/>
    <row r="21" ht="36" customHeight="1" s="42"/>
  </sheetData>
  <autoFilter ref="A1:J19"/>
  <hyperlinks>
    <hyperlink ref="F2" location="Ticket_Velocity!A1" display="Ticket_Velocity!A1"/>
    <hyperlink ref="G2" location="Q3-2025_Tickets!A1" display="Q3-2025_Tickets!A1"/>
    <hyperlink ref="F3" location="Helpdesk_Discipline!A1" display="Helpdesk_Discipline!A1"/>
    <hyperlink xmlns:r="http://schemas.openxmlformats.org/officeDocument/2006/relationships" ref="G3" r:id="rId1"/>
    <hyperlink ref="F4" location="Customer_Defect_Themes!A1" display="Customer_Defect_Themes!A1"/>
    <hyperlink ref="G4" location="Rework_Reopen_Proxy!A1" display="Rework_Reopen_Proxy!A1"/>
    <hyperlink ref="F5" location="Learning_Evidence!A1" display="Learning_Evidence!A1"/>
    <hyperlink ref="F6" location="Ticket_Velocity!A1" display="Ticket_Velocity!A1"/>
    <hyperlink ref="G6" location="Q4-2025_Tickets!A1" display="Q4-2025_Tickets!A1"/>
    <hyperlink ref="F7" location="Helpdesk_Discipline!A1" display="Helpdesk_Discipline!A1"/>
    <hyperlink xmlns:r="http://schemas.openxmlformats.org/officeDocument/2006/relationships" ref="G7" r:id="rId2"/>
    <hyperlink ref="F8" location="Customer_Defect_Themes!A1" display="Customer_Defect_Themes!A1"/>
    <hyperlink ref="G8" location="Rework_Reopen_Proxy!A1" display="Rework_Reopen_Proxy!A1"/>
    <hyperlink ref="F9" location="Learning_Evidence!A1" display="Learning_Evidence!A1"/>
    <hyperlink ref="F10" location="Ticket_Velocity!A1" display="Ticket_Velocity!A1"/>
    <hyperlink ref="G10" location="Q1-2026_Tickets!A1" display="Q1-2026_Tickets!A1"/>
    <hyperlink ref="F11" location="Customer_Defect_Themes!A1" display="Customer_Defect_Themes!A1"/>
    <hyperlink ref="G11" location="Q1-2026_Ticket_Summary!A1" display="Q1-2026_Ticket_Summary!A1"/>
    <hyperlink ref="F12" location="Helpdesk_Discipline!A1" display="Helpdesk_Discipline!A1"/>
    <hyperlink ref="G12" location="Rework_Reopen_Proxy!A1" display="Rework_Reopen_Proxy!A1"/>
    <hyperlink ref="F13" location="Learning_Evidence!A1" display="Learning_Evidence!A1"/>
    <hyperlink xmlns:r="http://schemas.openxmlformats.org/officeDocument/2006/relationships" ref="G13" r:id="rId3"/>
    <hyperlink ref="F16" location="Customer_Defect_Themes!A1" display="Customer_Defect_Themes!A1"/>
    <hyperlink ref="G16" location="Q2-2026_Ticket_Summary!A1" display="Q2-2026_Ticket_Summary!A1"/>
    <hyperlink ref="F17" location="Helpdesk_Discipline!A1" display="Helpdesk_Discipline!A1"/>
    <hyperlink ref="G17" location="Rework_Reopen_Proxy!A1" display="Rework_Reopen_Proxy!A1"/>
    <hyperlink ref="F18" location="Learning_Evidence!A1" display="Learning_Evidence!A1"/>
    <hyperlink xmlns:r="http://schemas.openxmlformats.org/officeDocument/2006/relationships" ref="G18" r:id="rId4"/>
    <hyperlink xmlns:r="http://schemas.openxmlformats.org/officeDocument/2006/relationships" ref="G19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style="42" min="1" max="6"/>
    <col width="18" customWidth="1" style="42" min="7" max="7"/>
    <col width="17" customWidth="1" style="42" min="8" max="8"/>
    <col width="14" customWidth="1" style="42" min="9" max="9"/>
    <col width="18" customWidth="1" style="42" min="10" max="10"/>
  </cols>
  <sheetData>
    <row r="1" ht="30" customHeight="1" s="42">
      <c r="A1" s="16" t="inlineStr">
        <is>
          <t>Santosh_OKR_Checklist!A1</t>
        </is>
      </c>
      <c r="B1" s="3" t="n"/>
    </row>
    <row r="3" ht="75" customHeight="1" s="42">
      <c r="A3" s="26" t="inlineStr">
        <is>
          <t>Santosh — Actual vs Achieved Scorecard (by Quarter)</t>
        </is>
      </c>
    </row>
    <row r="4" ht="36" customHeight="1" s="42">
      <c r="A4" s="19" t="inlineStr">
        <is>
          <t>Scope: Q3-Q4 2025 and Q1-Q2 2026. Yes = full quarter weight, No = 0. External bugs Yes (0 client-reported). PR rejection = 0 and Yes. Timesheets and stand-ups attended: https://helpdesk.gvwgroup.com/Timesheet.do. Execution is No (below the closed-ticket target).</t>
        </is>
      </c>
    </row>
    <row r="6" ht="21.95" customHeight="1" s="42">
      <c r="A6" s="11" t="inlineStr">
        <is>
          <t>Quarter</t>
        </is>
      </c>
      <c r="B6" s="11" t="inlineStr">
        <is>
          <t>KPI Area</t>
        </is>
      </c>
      <c r="C6" s="11" t="inlineStr">
        <is>
          <t>Metric</t>
        </is>
      </c>
      <c r="D6" s="11" t="inlineStr">
        <is>
          <t>Target</t>
        </is>
      </c>
      <c r="E6" s="11" t="inlineStr">
        <is>
          <t>Actual</t>
        </is>
      </c>
      <c r="F6" s="11" t="inlineStr">
        <is>
          <t>Yes/No</t>
        </is>
      </c>
      <c r="G6" s="11" t="inlineStr">
        <is>
          <t>Weightage (KPI)</t>
        </is>
      </c>
      <c r="H6" s="11" t="inlineStr">
        <is>
          <t>Evidence Sheet</t>
        </is>
      </c>
      <c r="I6" s="11" t="inlineStr">
        <is>
          <t>Notes</t>
        </is>
      </c>
      <c r="J6" s="5" t="n"/>
    </row>
    <row r="7" ht="45" customHeight="1" s="42">
      <c r="A7" s="13" t="inlineStr">
        <is>
          <t>Q3-2025</t>
        </is>
      </c>
      <c r="B7" s="13" t="inlineStr">
        <is>
          <t>Project Delivery</t>
        </is>
      </c>
      <c r="C7" s="13" t="inlineStr">
        <is>
          <t>Closed / Resolved tickets</t>
        </is>
      </c>
      <c r="D7" s="13" t="inlineStr">
        <is>
          <t>9</t>
        </is>
      </c>
      <c r="E7" s="13" t="n">
        <v>9</v>
      </c>
      <c r="F7" s="15" t="inlineStr">
        <is>
          <t>Yes</t>
        </is>
      </c>
      <c r="G7" s="13" t="n">
        <v>12.5</v>
      </c>
      <c r="H7" s="16" t="inlineStr">
        <is>
          <t>Ticket_Velocity!A1</t>
        </is>
      </c>
      <c r="J7" s="12" t="inlineStr">
        <is>
          <t>Yes 12.5 of 12.5. Yes = full marks, No = 0.</t>
        </is>
      </c>
    </row>
    <row r="8" ht="45" customHeight="1" s="42">
      <c r="A8" s="13" t="inlineStr">
        <is>
          <t>Q3-2025</t>
        </is>
      </c>
      <c r="B8" s="13" t="inlineStr">
        <is>
          <t>Process Adherance</t>
        </is>
      </c>
      <c r="C8" s="13" t="inlineStr">
        <is>
          <t>Process checklist</t>
        </is>
      </c>
      <c r="D8" s="13" t="inlineStr">
        <is>
          <t>&gt;=90%</t>
        </is>
      </c>
      <c r="E8" s="13" t="inlineStr">
        <is>
          <t>Tickets=11; closed=9</t>
        </is>
      </c>
      <c r="F8" s="15" t="inlineStr">
        <is>
          <t>Yes</t>
        </is>
      </c>
      <c r="G8" s="13" t="n">
        <v>3.75</v>
      </c>
      <c r="H8" s="16" t="inlineStr">
        <is>
          <t>Helpdesk_Discipline!A1</t>
        </is>
      </c>
      <c r="J8" s="12" t="inlineStr">
        <is>
          <t>Yes 3.75 of 3.75. Yes = full marks, No = 0.</t>
        </is>
      </c>
    </row>
    <row r="9" ht="45" customHeight="1" s="42">
      <c r="A9" s="13" t="inlineStr">
        <is>
          <t>Q3-2025</t>
        </is>
      </c>
      <c r="B9" s="13" t="inlineStr">
        <is>
          <t>External Bug Count, Ticket Reopen</t>
        </is>
      </c>
      <c r="C9" s="13" t="inlineStr">
        <is>
          <t>Defect themes + rework</t>
        </is>
      </c>
      <c r="D9" s="13" t="inlineStr">
        <is>
          <t>Themes&lt;=4; Rework&lt;5%</t>
        </is>
      </c>
      <c r="E9" s="13" t="inlineStr">
        <is>
          <t>Themes=2; Rework=0</t>
        </is>
      </c>
      <c r="F9" s="15" t="inlineStr">
        <is>
          <t>Yes</t>
        </is>
      </c>
      <c r="G9" s="13" t="n">
        <v>5</v>
      </c>
      <c r="H9" s="16" t="inlineStr">
        <is>
          <t>Rework_Reopen_Proxy!A1</t>
        </is>
      </c>
      <c r="J9" s="12" t="inlineStr">
        <is>
          <t>Yes 5.0 of 5.0. Yes = full marks, No = 0.</t>
        </is>
      </c>
    </row>
    <row r="10" ht="45" customHeight="1" s="42">
      <c r="A10" s="13" t="inlineStr">
        <is>
          <t>Q3-2025</t>
        </is>
      </c>
      <c r="B10" s="13" t="inlineStr">
        <is>
          <t>Self Learning</t>
        </is>
      </c>
      <c r="C10" s="13" t="inlineStr">
        <is>
          <t>POC</t>
        </is>
      </c>
      <c r="D10" s="13" t="inlineStr">
        <is>
          <t>1 POC</t>
        </is>
      </c>
      <c r="E10" s="13" t="inlineStr">
        <is>
          <t>See Learning_Evidence</t>
        </is>
      </c>
      <c r="F10" s="15" t="inlineStr">
        <is>
          <t>Yes</t>
        </is>
      </c>
      <c r="G10" s="13" t="n">
        <v>3.75</v>
      </c>
      <c r="H10" s="16" t="inlineStr">
        <is>
          <t>Learning_Evidence!A1</t>
        </is>
      </c>
      <c r="J10" s="12" t="inlineStr">
        <is>
          <t>Yes 3.75 of 3.75. Yes = full marks, No = 0.</t>
        </is>
      </c>
    </row>
    <row r="11" ht="45" customHeight="1" s="42">
      <c r="A11" s="26" t="inlineStr">
        <is>
          <t>Q3-2025</t>
        </is>
      </c>
      <c r="B11" s="26" t="inlineStr">
        <is>
          <t>QUARTER SCORE</t>
        </is>
      </c>
      <c r="C11" s="13" t="inlineStr">
        <is>
          <t>Sum of weightage Achieved=Yes</t>
        </is>
      </c>
      <c r="D11" s="13" t="n">
        <v>25</v>
      </c>
      <c r="E11" s="43" t="inlineStr">
        <is>
          <t>25.0 / 25.0</t>
        </is>
      </c>
      <c r="F11" s="28" t="n">
        <v>25</v>
      </c>
      <c r="G11" s="13" t="n">
        <v>25</v>
      </c>
    </row>
    <row r="12">
      <c r="F12" s="10" t="n"/>
      <c r="H12" s="3" t="n"/>
    </row>
    <row r="13" ht="45" customHeight="1" s="42">
      <c r="A13" s="13" t="inlineStr">
        <is>
          <t>Q4-2025</t>
        </is>
      </c>
      <c r="B13" s="13" t="inlineStr">
        <is>
          <t>Project Delivery</t>
        </is>
      </c>
      <c r="C13" s="13" t="inlineStr">
        <is>
          <t>Closed / Resolved tickets</t>
        </is>
      </c>
      <c r="D13" s="13" t="inlineStr">
        <is>
          <t>9</t>
        </is>
      </c>
      <c r="E13" s="13" t="n">
        <v>8</v>
      </c>
      <c r="F13" s="15" t="inlineStr">
        <is>
          <t>Yes</t>
        </is>
      </c>
      <c r="G13" s="13" t="n">
        <v>12.5</v>
      </c>
      <c r="H13" s="16" t="inlineStr">
        <is>
          <t>Ticket_Velocity!A1</t>
        </is>
      </c>
      <c r="J13" s="12" t="inlineStr">
        <is>
          <t>Yes 12.5 of 12.5. Yes = full marks, No = 0.</t>
        </is>
      </c>
    </row>
    <row r="14" ht="45" customHeight="1" s="42">
      <c r="A14" s="13" t="inlineStr">
        <is>
          <t>Q4-2025</t>
        </is>
      </c>
      <c r="B14" s="13" t="inlineStr">
        <is>
          <t>Process Adherance</t>
        </is>
      </c>
      <c r="C14" s="13" t="inlineStr">
        <is>
          <t>Process checklist</t>
        </is>
      </c>
      <c r="D14" s="13" t="inlineStr">
        <is>
          <t>&gt;=90%</t>
        </is>
      </c>
      <c r="E14" s="13" t="inlineStr">
        <is>
          <t>Tickets=9; closed=8</t>
        </is>
      </c>
      <c r="F14" s="15" t="inlineStr">
        <is>
          <t>Yes</t>
        </is>
      </c>
      <c r="G14" s="13" t="n">
        <v>3.75</v>
      </c>
      <c r="H14" s="16" t="inlineStr">
        <is>
          <t>Helpdesk_Discipline!A1</t>
        </is>
      </c>
      <c r="J14" s="12" t="inlineStr">
        <is>
          <t>Yes 3.75 of 3.75. Yes = full marks, No = 0.</t>
        </is>
      </c>
    </row>
    <row r="15" ht="45" customHeight="1" s="42">
      <c r="A15" s="13" t="inlineStr">
        <is>
          <t>Q4-2025</t>
        </is>
      </c>
      <c r="B15" s="13" t="inlineStr">
        <is>
          <t>External Bug Count, Ticket Reopen</t>
        </is>
      </c>
      <c r="C15" s="13" t="inlineStr">
        <is>
          <t>Defect themes + rework</t>
        </is>
      </c>
      <c r="D15" s="13" t="inlineStr">
        <is>
          <t>Themes&lt;=4; Rework&lt;5%</t>
        </is>
      </c>
      <c r="E15" s="13" t="inlineStr">
        <is>
          <t>Themes=1; Rework=0</t>
        </is>
      </c>
      <c r="F15" s="15" t="inlineStr">
        <is>
          <t>Yes</t>
        </is>
      </c>
      <c r="G15" s="13" t="n">
        <v>5</v>
      </c>
      <c r="H15" s="16" t="inlineStr">
        <is>
          <t>Rework_Reopen_Proxy!A1</t>
        </is>
      </c>
      <c r="J15" s="12" t="inlineStr">
        <is>
          <t>Yes 5.0 of 5.0. Yes = full marks, No = 0.</t>
        </is>
      </c>
    </row>
    <row r="16" ht="45" customHeight="1" s="42">
      <c r="A16" s="13" t="inlineStr">
        <is>
          <t>Q4-2025</t>
        </is>
      </c>
      <c r="B16" s="13" t="inlineStr">
        <is>
          <t>Self Learning</t>
        </is>
      </c>
      <c r="C16" s="13" t="inlineStr">
        <is>
          <t>POC</t>
        </is>
      </c>
      <c r="D16" s="13" t="inlineStr">
        <is>
          <t>1 POC</t>
        </is>
      </c>
      <c r="E16" s="13" t="inlineStr">
        <is>
          <t>See Learning_Evidence</t>
        </is>
      </c>
      <c r="F16" s="15" t="inlineStr">
        <is>
          <t>Yes</t>
        </is>
      </c>
      <c r="G16" s="13" t="n">
        <v>3.75</v>
      </c>
      <c r="H16" s="16" t="inlineStr">
        <is>
          <t>Learning_Evidence!A1</t>
        </is>
      </c>
      <c r="J16" s="12" t="inlineStr">
        <is>
          <t>Yes 3.75 of 3.75. Yes = full marks, No = 0.</t>
        </is>
      </c>
    </row>
    <row r="17" ht="45" customHeight="1" s="42">
      <c r="A17" s="26" t="inlineStr">
        <is>
          <t>Q4-2025</t>
        </is>
      </c>
      <c r="B17" s="26" t="inlineStr">
        <is>
          <t>QUARTER SCORE</t>
        </is>
      </c>
      <c r="C17" s="13" t="inlineStr">
        <is>
          <t>Sum of weightage Achieved=Yes</t>
        </is>
      </c>
      <c r="D17" s="13" t="n">
        <v>25</v>
      </c>
      <c r="E17" s="43" t="inlineStr">
        <is>
          <t>25.0 / 25.0</t>
        </is>
      </c>
      <c r="F17" s="28" t="n">
        <v>25</v>
      </c>
      <c r="G17" s="13" t="n">
        <v>25</v>
      </c>
      <c r="H17" s="3" t="n"/>
    </row>
    <row r="18">
      <c r="F18" s="10" t="n"/>
      <c r="H18" s="3" t="n"/>
    </row>
    <row r="19" ht="45" customHeight="1" s="42">
      <c r="A19" s="13" t="inlineStr">
        <is>
          <t>Q1-2026</t>
        </is>
      </c>
      <c r="B19" s="13" t="inlineStr">
        <is>
          <t>Execution</t>
        </is>
      </c>
      <c r="C19" s="13" t="inlineStr">
        <is>
          <t>Closed / Resolved tickets</t>
        </is>
      </c>
      <c r="D19" s="13" t="inlineStr">
        <is>
          <t>9</t>
        </is>
      </c>
      <c r="E19" s="13" t="n">
        <v>4</v>
      </c>
      <c r="F19" s="20" t="inlineStr">
        <is>
          <t>No</t>
        </is>
      </c>
      <c r="G19" s="13" t="n">
        <v>7.5</v>
      </c>
      <c r="H19" s="16" t="inlineStr">
        <is>
          <t>Ticket_Velocity!A1</t>
        </is>
      </c>
      <c r="J19" s="12" t="inlineStr">
        <is>
          <t>Yes 0 of 7.25. Yes = full marks, No = 0.</t>
        </is>
      </c>
    </row>
    <row r="20" ht="45" customHeight="1" s="42">
      <c r="A20" s="13" t="inlineStr">
        <is>
          <t>Q1-2026</t>
        </is>
      </c>
      <c r="B20" s="13" t="inlineStr">
        <is>
          <t>Quality</t>
        </is>
      </c>
      <c r="C20" s="13" t="inlineStr">
        <is>
          <t>Quality proxies</t>
        </is>
      </c>
      <c r="D20" s="13" t="inlineStr">
        <is>
          <t>Themes&lt;=4; Rework&lt;5%</t>
        </is>
      </c>
      <c r="E20" s="13" t="inlineStr">
        <is>
          <t>Themes=0; Rework=0 (0.0%)</t>
        </is>
      </c>
      <c r="F20" s="15" t="inlineStr">
        <is>
          <t>Yes</t>
        </is>
      </c>
      <c r="G20" s="13" t="n">
        <v>12.5</v>
      </c>
      <c r="H20" s="16" t="inlineStr">
        <is>
          <t>Customer_Defect_Themes!A1</t>
        </is>
      </c>
      <c r="J20" s="12" t="inlineStr">
        <is>
          <t>Yes 12.5 of 12.5. Yes = full marks, No = 0.</t>
        </is>
      </c>
    </row>
    <row r="21" ht="36" customHeight="1" s="42">
      <c r="A21" s="13" t="inlineStr">
        <is>
          <t>Q1-2026</t>
        </is>
      </c>
      <c r="B21" s="13" t="inlineStr">
        <is>
          <t>L&amp;D</t>
        </is>
      </c>
      <c r="C21" s="13" t="inlineStr">
        <is>
          <t>Python / courses</t>
        </is>
      </c>
      <c r="D21" s="13" t="inlineStr">
        <is>
          <t>Python fundamentals/projects</t>
        </is>
      </c>
      <c r="E21" s="16" t="inlineStr">
        <is>
          <t>POC in Bitbucket: https://bitbucket.org/msnalashaa/performance-learning-development/src/main/2026/Santosh/</t>
        </is>
      </c>
      <c r="F21" s="15" t="inlineStr">
        <is>
          <t>Yes</t>
        </is>
      </c>
      <c r="G21" s="13" t="n">
        <v>5</v>
      </c>
      <c r="H21" s="16" t="inlineStr">
        <is>
          <t>Learning_Evidence!A1</t>
        </is>
      </c>
      <c r="J21" s="12" t="inlineStr">
        <is>
          <t>Yes 5.0 of 5.0. Yes = full marks, No = 0.</t>
        </is>
      </c>
    </row>
    <row r="22" ht="30" customHeight="1" s="42">
      <c r="A22" s="26" t="inlineStr">
        <is>
          <t>Q1-2026</t>
        </is>
      </c>
      <c r="B22" s="26" t="inlineStr">
        <is>
          <t>QUARTER SCORE</t>
        </is>
      </c>
      <c r="C22" s="13" t="inlineStr">
        <is>
          <t>Sum of weightage Achieved=Yes</t>
        </is>
      </c>
      <c r="D22" s="13" t="n">
        <v>25</v>
      </c>
      <c r="E22" s="43" t="inlineStr">
        <is>
          <t>17.5 / 25.0</t>
        </is>
      </c>
      <c r="F22" s="28" t="n">
        <v>17.5</v>
      </c>
      <c r="G22" s="13" t="n">
        <v>25</v>
      </c>
      <c r="H22" s="3" t="n"/>
    </row>
    <row r="23" ht="45" customHeight="1" s="42">
      <c r="F23" s="10" t="n"/>
      <c r="H23" s="3" t="n"/>
    </row>
    <row r="24">
      <c r="A24" s="13" t="inlineStr">
        <is>
          <t>Q2-2026</t>
        </is>
      </c>
      <c r="B24" s="13" t="inlineStr">
        <is>
          <t>Execution</t>
        </is>
      </c>
      <c r="C24" s="13" t="inlineStr">
        <is>
          <t>Closed / Resolved tickets</t>
        </is>
      </c>
      <c r="D24" s="13" t="inlineStr">
        <is>
          <t>12</t>
        </is>
      </c>
      <c r="E24" s="13" t="n">
        <v>6</v>
      </c>
      <c r="F24" s="20" t="inlineStr">
        <is>
          <t>No</t>
        </is>
      </c>
      <c r="G24" s="13" t="n">
        <v>7.5</v>
      </c>
      <c r="H24" s="16" t="inlineStr">
        <is>
          <t>Ticket_Velocity!A1</t>
        </is>
      </c>
      <c r="J24" s="12" t="inlineStr">
        <is>
          <t>Yes 0 of 7.25. Yes = full marks, No = 0.</t>
        </is>
      </c>
    </row>
    <row r="25" ht="45" customHeight="1" s="42">
      <c r="A25" s="13" t="inlineStr">
        <is>
          <t>Q2-2026</t>
        </is>
      </c>
      <c r="B25" s="13" t="inlineStr">
        <is>
          <t>Quality</t>
        </is>
      </c>
      <c r="C25" s="13" t="inlineStr">
        <is>
          <t>Quality proxies</t>
        </is>
      </c>
      <c r="D25" s="13" t="inlineStr">
        <is>
          <t>Themes&lt;=4; Rework&lt;5%</t>
        </is>
      </c>
      <c r="E25" s="13" t="inlineStr">
        <is>
          <t>Themes=0; Rework=0 (0.0%)</t>
        </is>
      </c>
      <c r="F25" s="15" t="inlineStr">
        <is>
          <t>Yes</t>
        </is>
      </c>
      <c r="G25" s="13" t="n">
        <v>12.5</v>
      </c>
      <c r="H25" s="16" t="inlineStr">
        <is>
          <t>Customer_Defect_Themes!A1</t>
        </is>
      </c>
      <c r="J25" s="12" t="inlineStr">
        <is>
          <t>Yes 12.5 of 12.5. Yes = full marks, No = 0.</t>
        </is>
      </c>
    </row>
    <row r="26" ht="45" customHeight="1" s="42">
      <c r="A26" s="13" t="inlineStr">
        <is>
          <t>Q2-2026</t>
        </is>
      </c>
      <c r="B26" s="13" t="inlineStr">
        <is>
          <t>L&amp;D</t>
        </is>
      </c>
      <c r="C26" s="13" t="inlineStr">
        <is>
          <t>Python / courses</t>
        </is>
      </c>
      <c r="D26" s="13" t="inlineStr">
        <is>
          <t>Python fundamentals/projects</t>
        </is>
      </c>
      <c r="E26" s="16" t="inlineStr">
        <is>
          <t>POC in Bitbucket: https://bitbucket.org/msnalashaa/performance-learning-development/src/main/2026/Santosh/</t>
        </is>
      </c>
      <c r="F26" s="15" t="inlineStr">
        <is>
          <t>Yes</t>
        </is>
      </c>
      <c r="G26" s="13" t="n">
        <v>5</v>
      </c>
      <c r="H26" s="16" t="inlineStr">
        <is>
          <t>Learning_Evidence!A1</t>
        </is>
      </c>
      <c r="J26" s="12" t="inlineStr">
        <is>
          <t>Yes 5.0 of 5.0. Yes = full marks, No = 0.</t>
        </is>
      </c>
    </row>
    <row r="27" ht="36" customHeight="1" s="42">
      <c r="A27" s="26" t="inlineStr">
        <is>
          <t>Q2-2026</t>
        </is>
      </c>
      <c r="B27" s="26" t="inlineStr">
        <is>
          <t>QUARTER SCORE</t>
        </is>
      </c>
      <c r="C27" s="13" t="inlineStr">
        <is>
          <t>Sum of weightage Achieved=Yes</t>
        </is>
      </c>
      <c r="D27" s="13" t="n">
        <v>25</v>
      </c>
      <c r="E27" s="43" t="inlineStr">
        <is>
          <t>17.5 / 25.0</t>
        </is>
      </c>
      <c r="F27" s="28" t="n">
        <v>17.5</v>
      </c>
      <c r="G27" s="13" t="n">
        <v>25</v>
      </c>
      <c r="H27" t="inlineStr">
        <is>
          <t>Learning_Evidence!A1</t>
        </is>
      </c>
    </row>
    <row r="28" ht="30" customHeight="1" s="42">
      <c r="H28" s="3" t="n"/>
    </row>
    <row r="29" ht="45" customHeight="1" s="42">
      <c r="A29" s="26" t="inlineStr">
        <is>
          <t>VALIDATION — Ticket totals vs Tickets_Master_Santosh</t>
        </is>
      </c>
      <c r="H29" s="3" t="n"/>
    </row>
    <row r="30">
      <c r="A30" s="29" t="inlineStr">
        <is>
          <t>Scope</t>
        </is>
      </c>
      <c r="B30" s="29" t="inlineStr">
        <is>
          <t>Total</t>
        </is>
      </c>
      <c r="C30" s="29" t="inlineStr">
        <is>
          <t>Closed</t>
        </is>
      </c>
      <c r="D30" s="29" t="inlineStr">
        <is>
          <t>Open</t>
        </is>
      </c>
      <c r="E30" s="29" t="inlineStr">
        <is>
          <t>Code Change</t>
        </is>
      </c>
      <c r="F30" s="29" t="inlineStr">
        <is>
          <t>SP Change</t>
        </is>
      </c>
      <c r="G30" s="29" t="inlineStr">
        <is>
          <t>Code Lines</t>
        </is>
      </c>
      <c r="H30" s="3" t="n"/>
    </row>
    <row r="31" ht="75" customHeight="1" s="42">
      <c r="A31" s="13" t="inlineStr">
        <is>
          <t>All master</t>
        </is>
      </c>
      <c r="B31" s="13" t="n">
        <v>50</v>
      </c>
      <c r="C31" s="13" t="n">
        <v>42</v>
      </c>
      <c r="D31" s="13" t="n">
        <v>8</v>
      </c>
      <c r="E31" s="13" t="n">
        <v>24</v>
      </c>
      <c r="F31" s="13" t="n">
        <v>18</v>
      </c>
      <c r="G31" s="13" t="n">
        <v>952</v>
      </c>
    </row>
    <row r="32">
      <c r="A32" s="13" t="inlineStr">
        <is>
          <t>Appraisal only</t>
        </is>
      </c>
      <c r="B32" s="13" t="n">
        <v>29</v>
      </c>
      <c r="C32" s="13" t="n">
        <v>26</v>
      </c>
      <c r="D32" s="13" t="n">
        <v>3</v>
      </c>
      <c r="E32" s="13" t="n">
        <v>10</v>
      </c>
      <c r="F32" s="13" t="n">
        <v>7</v>
      </c>
      <c r="G32" s="13" t="n">
        <v>630</v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</sheetData>
  <hyperlinks>
    <hyperlink ref="A1" location="Santosh_OKR_Checklist!A1" display="Santosh_OKR_Checklist!A1"/>
    <hyperlink ref="H7" location="Ticket_Velocity!A1" display="Ticket_Velocity!A1"/>
    <hyperlink ref="H8" location="Helpdesk_Discipline!A1" display="Helpdesk_Discipline!A1"/>
    <hyperlink ref="H9" location="Rework_Reopen_Proxy!A1" display="Rework_Reopen_Proxy!A1"/>
    <hyperlink ref="H10" location="Learning_Evidence!A1" display="Learning_Evidence!A1"/>
    <hyperlink ref="H13" location="Ticket_Velocity!A1" display="Ticket_Velocity!A1"/>
    <hyperlink ref="H14" location="Helpdesk_Discipline!A1" display="Helpdesk_Discipline!A1"/>
    <hyperlink ref="H15" location="Rework_Reopen_Proxy!A1" display="Rework_Reopen_Proxy!A1"/>
    <hyperlink ref="H16" location="Learning_Evidence!A1" display="Learning_Evidence!A1"/>
    <hyperlink ref="H19" location="Ticket_Velocity!A1" display="Ticket_Velocity!A1"/>
    <hyperlink ref="H20" location="Customer_Defect_Themes!A1" display="Customer_Defect_Themes!A1"/>
    <hyperlink xmlns:r="http://schemas.openxmlformats.org/officeDocument/2006/relationships" ref="E21" r:id="rId1"/>
    <hyperlink ref="H21" location="Learning_Evidence!A1" display="Learning_Evidence!A1"/>
    <hyperlink ref="H25" location="Ticket_Velocity!A1" display="Ticket_Velocity!A1"/>
    <hyperlink ref="H26" location="Customer_Defect_Themes!A1" display="Customer_Defect_Themes!A1"/>
    <hyperlink xmlns:r="http://schemas.openxmlformats.org/officeDocument/2006/relationships" ref="E27" r:id="rId2"/>
    <hyperlink ref="H27" location="Learning_Evidence!A1" display="Learning_Evidence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16" customWidth="1" style="42" min="2" max="2"/>
    <col width="18" customWidth="1" style="42" min="3" max="3"/>
    <col width="14" customWidth="1" style="42" min="4" max="8"/>
  </cols>
  <sheetData>
    <row r="1" ht="30" customHeight="1" s="42">
      <c r="A1" s="16" t="inlineStr">
        <is>
          <t>Santosh_OKR_Checklist!A1</t>
        </is>
      </c>
      <c r="B1" s="3" t="n"/>
    </row>
    <row r="3" ht="75" customHeight="1" s="42">
      <c r="A3" s="26" t="inlineStr">
        <is>
          <t>Ticket_Velocity — governed by Tickets_Master_Santosh</t>
        </is>
      </c>
    </row>
    <row r="4" ht="36" customHeight="1" s="42">
      <c r="A4" s="12" t="inlineStr">
        <is>
          <t>Closed/Resolved from master. 2025 target=9/qtr. 2026 Execution targets: Q1=9 (3/mo), Q2=12 (4/mo), Q3=15 (5/mo), Q4=18 (6/mo) on Aculocity QAD. Yes if closed &gt;= target OR &gt;=70%.</t>
        </is>
      </c>
    </row>
    <row r="6" ht="21.95" customHeight="1" s="42">
      <c r="A6" s="11" t="inlineStr">
        <is>
          <t>Quarter</t>
        </is>
      </c>
      <c r="B6" s="11" t="inlineStr">
        <is>
          <t>Total Tickets</t>
        </is>
      </c>
      <c r="C6" s="11" t="inlineStr">
        <is>
          <t>Closed/Resolved</t>
        </is>
      </c>
      <c r="D6" s="11" t="inlineStr">
        <is>
          <t>Open</t>
        </is>
      </c>
      <c r="E6" s="11" t="inlineStr">
        <is>
          <t>Target</t>
        </is>
      </c>
      <c r="F6" s="11" t="inlineStr">
        <is>
          <t>Yes/No</t>
        </is>
      </c>
      <c r="G6" s="11" t="inlineStr">
        <is>
          <t>Comments</t>
        </is>
      </c>
      <c r="H6" s="11" t="inlineStr">
        <is>
          <t>Source</t>
        </is>
      </c>
    </row>
    <row r="7" ht="30" customHeight="1" s="42">
      <c r="A7" s="13" t="inlineStr">
        <is>
          <t>Q3-2025</t>
        </is>
      </c>
      <c r="B7" s="13" t="n">
        <v>11</v>
      </c>
      <c r="C7" s="13" t="n">
        <v>9</v>
      </c>
      <c r="D7" s="13" t="n">
        <v>2</v>
      </c>
      <c r="E7" s="13" t="n">
        <v>9</v>
      </c>
      <c r="F7" s="25" t="inlineStr">
        <is>
          <t>Yes</t>
        </is>
      </c>
      <c r="G7" s="13" t="inlineStr">
        <is>
          <t>Met target (9/9)</t>
        </is>
      </c>
      <c r="H7" s="13" t="inlineStr">
        <is>
          <t>Tickets_Master_Santosh</t>
        </is>
      </c>
    </row>
    <row r="8" ht="45" customHeight="1" s="42">
      <c r="A8" s="13" t="inlineStr">
        <is>
          <t>Q4-2025</t>
        </is>
      </c>
      <c r="B8" s="13" t="n">
        <v>8</v>
      </c>
      <c r="C8" s="13" t="n">
        <v>8</v>
      </c>
      <c r="D8" s="13" t="n">
        <v>0</v>
      </c>
      <c r="E8" s="13" t="n">
        <v>9</v>
      </c>
      <c r="F8" s="25" t="inlineStr">
        <is>
          <t>Yes</t>
        </is>
      </c>
      <c r="G8" s="13" t="inlineStr">
        <is>
          <t>Met 70% threshold (8/9)</t>
        </is>
      </c>
      <c r="H8" s="13" t="inlineStr">
        <is>
          <t>Tickets_Master_Santosh</t>
        </is>
      </c>
    </row>
    <row r="9" ht="30" customHeight="1" s="42">
      <c r="A9" s="13" t="inlineStr">
        <is>
          <t>Q1-2026</t>
        </is>
      </c>
      <c r="B9" s="13" t="n">
        <v>4</v>
      </c>
      <c r="C9" s="13" t="n">
        <v>4</v>
      </c>
      <c r="D9" s="13" t="n">
        <v>0</v>
      </c>
      <c r="E9" s="13" t="n">
        <v>9</v>
      </c>
      <c r="F9" s="23" t="inlineStr">
        <is>
          <t>No</t>
        </is>
      </c>
      <c r="G9" s="13" t="inlineStr">
        <is>
          <t>Below target (4/9)</t>
        </is>
      </c>
      <c r="H9" s="13" t="inlineStr">
        <is>
          <t>Tickets_Master_Santosh</t>
        </is>
      </c>
    </row>
    <row r="10" ht="30" customHeight="1" s="42">
      <c r="A10" s="13" t="inlineStr">
        <is>
          <t>Q2-2026</t>
        </is>
      </c>
      <c r="B10" s="13" t="n">
        <v>6</v>
      </c>
      <c r="C10" s="13" t="n">
        <v>5</v>
      </c>
      <c r="D10" s="13" t="n">
        <v>1</v>
      </c>
      <c r="E10" s="13" t="n">
        <v>12</v>
      </c>
      <c r="F10" s="23" t="inlineStr">
        <is>
          <t>No</t>
        </is>
      </c>
      <c r="G10" s="13" t="inlineStr">
        <is>
          <t>Below target (5/12)</t>
        </is>
      </c>
      <c r="H10" s="13" t="inlineStr">
        <is>
          <t>Tickets_Master_Santosh</t>
        </is>
      </c>
    </row>
    <row r="11" ht="45" customHeight="1" s="42">
      <c r="A11" s="13" t="inlineStr">
        <is>
          <t>Q1-2025</t>
        </is>
      </c>
      <c r="B11" s="13" t="n">
        <v>2</v>
      </c>
      <c r="C11" s="13" t="n">
        <v>0</v>
      </c>
      <c r="D11" s="13" t="n">
        <v>2</v>
      </c>
      <c r="E11" s="13" t="inlineStr">
        <is>
          <t>—</t>
        </is>
      </c>
      <c r="F11" s="13" t="inlineStr">
        <is>
          <t>—</t>
        </is>
      </c>
      <c r="G11" s="13" t="inlineStr">
        <is>
          <t>Outside appraisal scope</t>
        </is>
      </c>
      <c r="H11" s="13" t="inlineStr">
        <is>
          <t>Tickets_Master_Santosh</t>
        </is>
      </c>
    </row>
    <row r="12" ht="45" customHeight="1" s="42">
      <c r="A12" s="13" t="inlineStr">
        <is>
          <t>Q2-2025</t>
        </is>
      </c>
      <c r="B12" s="13" t="n">
        <v>9</v>
      </c>
      <c r="C12" s="13" t="n">
        <v>8</v>
      </c>
      <c r="D12" s="13" t="n">
        <v>1</v>
      </c>
      <c r="E12" s="13" t="inlineStr">
        <is>
          <t>—</t>
        </is>
      </c>
      <c r="F12" s="13" t="inlineStr">
        <is>
          <t>—</t>
        </is>
      </c>
      <c r="G12" s="13" t="inlineStr">
        <is>
          <t>Outside appraisal scope</t>
        </is>
      </c>
      <c r="H12" s="13" t="inlineStr">
        <is>
          <t>Tickets_Master_Santosh</t>
        </is>
      </c>
    </row>
    <row r="13" ht="45" customHeight="1" s="42">
      <c r="A13" s="13" t="inlineStr">
        <is>
          <t>Q3-2026</t>
        </is>
      </c>
      <c r="B13" s="13" t="n">
        <v>10</v>
      </c>
      <c r="C13" s="13" t="n">
        <v>8</v>
      </c>
      <c r="D13" s="13" t="n">
        <v>2</v>
      </c>
      <c r="E13" s="13" t="n">
        <v>15</v>
      </c>
      <c r="F13" s="13" t="inlineStr">
        <is>
          <t>No</t>
        </is>
      </c>
      <c r="G13" s="13" t="inlineStr">
        <is>
          <t>Below target (8/15)</t>
        </is>
      </c>
      <c r="H13" s="13" t="inlineStr">
        <is>
          <t>Tickets_Master_Santosh</t>
        </is>
      </c>
    </row>
    <row r="14" ht="45" customHeight="1" s="42">
      <c r="A14" s="13" t="inlineStr">
        <is>
          <t>Q4-2024</t>
        </is>
      </c>
      <c r="B14" s="13" t="n">
        <v>0</v>
      </c>
      <c r="C14" s="13" t="n">
        <v>0</v>
      </c>
      <c r="D14" s="13" t="n">
        <v>0</v>
      </c>
      <c r="E14" s="13" t="inlineStr">
        <is>
          <t>—</t>
        </is>
      </c>
      <c r="F14" s="13" t="inlineStr">
        <is>
          <t>—</t>
        </is>
      </c>
      <c r="G14" s="13" t="inlineStr">
        <is>
          <t>Outside appraisal scope</t>
        </is>
      </c>
      <c r="H14" s="13" t="inlineStr">
        <is>
          <t>Tickets_Master_Santosh</t>
        </is>
      </c>
    </row>
    <row r="16" ht="30" customHeight="1" s="42">
      <c r="A16" s="26" t="inlineStr">
        <is>
          <t>MASTER TOTALS</t>
        </is>
      </c>
    </row>
    <row r="17" ht="30" customHeight="1" s="42">
      <c r="A17" s="29" t="inlineStr">
        <is>
          <t>Scope</t>
        </is>
      </c>
      <c r="B17" s="29" t="inlineStr">
        <is>
          <t>Total</t>
        </is>
      </c>
      <c r="C17" s="29" t="inlineStr">
        <is>
          <t>Closed</t>
        </is>
      </c>
      <c r="D17" s="29" t="inlineStr">
        <is>
          <t>Open</t>
        </is>
      </c>
      <c r="E17" s="29" t="inlineStr">
        <is>
          <t>Code Change</t>
        </is>
      </c>
      <c r="F17" s="29" t="inlineStr">
        <is>
          <t>SP Change</t>
        </is>
      </c>
      <c r="G17" s="29" t="inlineStr">
        <is>
          <t>Code Lines</t>
        </is>
      </c>
      <c r="H17" s="29" t="inlineStr">
        <is>
          <t>SQL Lines</t>
        </is>
      </c>
    </row>
    <row r="18" ht="30" customHeight="1" s="42">
      <c r="A18" s="13" t="inlineStr">
        <is>
          <t>All master tickets</t>
        </is>
      </c>
      <c r="B18" s="13" t="n">
        <v>50</v>
      </c>
      <c r="C18" s="13" t="n">
        <v>42</v>
      </c>
      <c r="D18" s="13" t="n">
        <v>8</v>
      </c>
      <c r="E18" s="13" t="n">
        <v>24</v>
      </c>
      <c r="F18" s="13" t="n">
        <v>18</v>
      </c>
      <c r="G18" s="13" t="n">
        <v>952</v>
      </c>
      <c r="H18" s="13" t="n">
        <v>965</v>
      </c>
    </row>
    <row r="19" ht="45" customHeight="1" s="42">
      <c r="A19" s="13" t="inlineStr">
        <is>
          <t>Appraisal only (Q3-2025..Q2-2026)</t>
        </is>
      </c>
      <c r="B19" s="13" t="n">
        <v>29</v>
      </c>
      <c r="C19" s="13" t="n">
        <v>26</v>
      </c>
      <c r="D19" s="13" t="n">
        <v>3</v>
      </c>
      <c r="E19" s="13" t="n">
        <v>10</v>
      </c>
      <c r="F19" s="13" t="n">
        <v>7</v>
      </c>
      <c r="G19" s="13" t="n">
        <v>630</v>
      </c>
      <c r="H19" s="13" t="n">
        <v>652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15" customWidth="1" style="42" min="3" max="3"/>
    <col width="14" customWidth="1" style="42" min="4" max="4"/>
    <col width="24" customWidth="1" style="42" min="5" max="5"/>
    <col width="19" customWidth="1" style="42" min="6" max="6"/>
    <col width="14" customWidth="1" style="42" min="7" max="7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Ticket_Spillover (open Helpdesk tickets as spill proxy)</t>
        </is>
      </c>
    </row>
    <row r="4" ht="36" customHeight="1" s="42">
      <c r="A4" s="43" t="inlineStr">
        <is>
          <t>Open tickets (InProgress / OnHold / In-UAT / Approver) as spill proxy — no Jira sprint spill field.</t>
        </is>
      </c>
    </row>
    <row r="6" ht="21.95" customHeight="1" s="42">
      <c r="A6" s="11" t="inlineStr">
        <is>
          <t>Quarter</t>
        </is>
      </c>
      <c r="B6" s="11" t="inlineStr">
        <is>
          <t>Total</t>
        </is>
      </c>
      <c r="C6" s="11" t="inlineStr">
        <is>
          <t>Open (spill)</t>
        </is>
      </c>
      <c r="D6" s="11" t="inlineStr">
        <is>
          <t>Spill %</t>
        </is>
      </c>
      <c r="E6" s="11" t="inlineStr">
        <is>
          <t>Achieved/Not Achieved</t>
        </is>
      </c>
      <c r="F6" s="11" t="inlineStr">
        <is>
          <t>Open Ticket Nos.</t>
        </is>
      </c>
      <c r="G6" s="11" t="inlineStr">
        <is>
          <t>Comments</t>
        </is>
      </c>
    </row>
    <row r="7" ht="45" customHeight="1" s="42">
      <c r="A7" s="12" t="inlineStr">
        <is>
          <t>Q1-2025</t>
        </is>
      </c>
      <c r="B7" s="12" t="n">
        <v>2</v>
      </c>
      <c r="C7" s="12" t="n">
        <v>2</v>
      </c>
      <c r="D7" s="12" t="n">
        <v>100</v>
      </c>
      <c r="E7" s="31" t="inlineStr">
        <is>
          <t>Yes</t>
        </is>
      </c>
      <c r="F7" s="12" t="inlineStr">
        <is>
          <t>20701, 21294</t>
        </is>
      </c>
      <c r="G7" s="12" t="inlineStr">
        <is>
          <t>Achieved if open&lt;=2 or spill%&lt;=20</t>
        </is>
      </c>
    </row>
    <row r="8" ht="45" customHeight="1" s="42">
      <c r="A8" s="12" t="inlineStr">
        <is>
          <t>Q1-2026</t>
        </is>
      </c>
      <c r="B8" s="12" t="n">
        <v>4</v>
      </c>
      <c r="C8" s="12" t="n">
        <v>0</v>
      </c>
      <c r="D8" s="12" t="n">
        <v>0</v>
      </c>
      <c r="E8" s="31" t="inlineStr">
        <is>
          <t>Yes</t>
        </is>
      </c>
      <c r="F8" s="12" t="inlineStr">
        <is>
          <t>-</t>
        </is>
      </c>
      <c r="G8" s="12" t="inlineStr">
        <is>
          <t>Achieved if open&lt;=2 or spill%&lt;=20</t>
        </is>
      </c>
    </row>
    <row r="9" ht="45" customHeight="1" s="42">
      <c r="A9" s="12" t="inlineStr">
        <is>
          <t>Q2-2025</t>
        </is>
      </c>
      <c r="B9" s="12" t="n">
        <v>9</v>
      </c>
      <c r="C9" s="12" t="n">
        <v>1</v>
      </c>
      <c r="D9" s="12" t="n">
        <v>11.1</v>
      </c>
      <c r="E9" s="31" t="inlineStr">
        <is>
          <t>Yes</t>
        </is>
      </c>
      <c r="F9" s="12" t="inlineStr">
        <is>
          <t>26149</t>
        </is>
      </c>
      <c r="G9" s="12" t="inlineStr">
        <is>
          <t>Achieved if open&lt;=2 or spill%&lt;=20</t>
        </is>
      </c>
    </row>
    <row r="10" ht="45" customHeight="1" s="42">
      <c r="A10" s="12" t="inlineStr">
        <is>
          <t>Q2-2026</t>
        </is>
      </c>
      <c r="B10" s="12" t="n">
        <v>6</v>
      </c>
      <c r="C10" s="12" t="n">
        <v>1</v>
      </c>
      <c r="D10" s="12" t="n">
        <v>16.7</v>
      </c>
      <c r="E10" s="31" t="inlineStr">
        <is>
          <t>Yes</t>
        </is>
      </c>
      <c r="F10" s="12" t="inlineStr">
        <is>
          <t>42203</t>
        </is>
      </c>
      <c r="G10" s="12" t="inlineStr">
        <is>
          <t>Achieved if open&lt;=2 or spill%&lt;=20</t>
        </is>
      </c>
    </row>
    <row r="11" ht="45" customHeight="1" s="42">
      <c r="A11" s="12" t="inlineStr">
        <is>
          <t>Q3-2025</t>
        </is>
      </c>
      <c r="B11" s="12" t="n">
        <v>11</v>
      </c>
      <c r="C11" s="12" t="n">
        <v>2</v>
      </c>
      <c r="D11" s="12" t="n">
        <v>18.2</v>
      </c>
      <c r="E11" s="31" t="inlineStr">
        <is>
          <t>Yes</t>
        </is>
      </c>
      <c r="F11" s="12" t="inlineStr">
        <is>
          <t>30894, 32434</t>
        </is>
      </c>
      <c r="G11" s="12" t="inlineStr">
        <is>
          <t>Achieved if open&lt;=2 or spill%&lt;=20</t>
        </is>
      </c>
    </row>
    <row r="12" ht="45" customHeight="1" s="42">
      <c r="A12" s="12" t="inlineStr">
        <is>
          <t>Q4-2024</t>
        </is>
      </c>
      <c r="B12" s="12" t="n">
        <v>0</v>
      </c>
      <c r="C12" s="12" t="n">
        <v>0</v>
      </c>
      <c r="D12" s="12" t="n">
        <v>0</v>
      </c>
      <c r="E12" s="31" t="inlineStr">
        <is>
          <t>Yes</t>
        </is>
      </c>
      <c r="F12" s="12" t="inlineStr">
        <is>
          <t>-</t>
        </is>
      </c>
      <c r="G12" s="12" t="inlineStr">
        <is>
          <t>Achieved if open&lt;=2 or spill%&lt;=20</t>
        </is>
      </c>
    </row>
    <row r="13" ht="45" customHeight="1" s="42">
      <c r="A13" s="12" t="inlineStr">
        <is>
          <t>Q4-2025</t>
        </is>
      </c>
      <c r="B13" s="12" t="n">
        <v>8</v>
      </c>
      <c r="C13" s="12" t="n">
        <v>0</v>
      </c>
      <c r="D13" s="12" t="n">
        <v>0</v>
      </c>
      <c r="E13" s="31" t="inlineStr">
        <is>
          <t>Yes</t>
        </is>
      </c>
      <c r="F13" s="12" t="inlineStr">
        <is>
          <t>-</t>
        </is>
      </c>
      <c r="G13" s="12" t="inlineStr">
        <is>
          <t>Achieved if open&lt;=2 or spill%&lt;=20</t>
        </is>
      </c>
    </row>
    <row r="14" ht="45" customHeight="1" s="42">
      <c r="A14" s="12" t="inlineStr">
        <is>
          <t>Q3-2026</t>
        </is>
      </c>
      <c r="B14" s="12" t="n">
        <v>10</v>
      </c>
      <c r="C14" s="12" t="n">
        <v>2</v>
      </c>
      <c r="D14" s="12" t="n">
        <v>20</v>
      </c>
      <c r="E14" s="50" t="inlineStr">
        <is>
          <t>Yes</t>
        </is>
      </c>
      <c r="F14" s="12" t="inlineStr">
        <is>
          <t>16797, 25685</t>
        </is>
      </c>
      <c r="G14" s="12" t="inlineStr">
        <is>
          <t>Achieved if open&lt;=2 or spill%&lt;=20</t>
        </is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18" customWidth="1" style="42" min="2" max="2"/>
    <col width="17" customWidth="1" style="42" min="3" max="3"/>
    <col width="14" customWidth="1" style="42" min="4" max="5"/>
    <col width="24" customWidth="1" style="42" min="6" max="6"/>
    <col width="14" customWidth="1" style="42" min="7" max="7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FirstCut_Quality (Helpdesk Code/SP Change quality proxy)</t>
        </is>
      </c>
    </row>
    <row r="4" ht="36" customHeight="1" s="42">
      <c r="A4" s="43" t="inlineStr">
        <is>
          <t>No Jira first-cut QA export. Proxy = Code/SP Change tickets closed with line counts (reviewable change).</t>
        </is>
      </c>
    </row>
    <row r="6" ht="21.95" customHeight="1" s="42">
      <c r="A6" s="11" t="inlineStr">
        <is>
          <t>Quarter</t>
        </is>
      </c>
      <c r="B6" s="11" t="inlineStr">
        <is>
          <t>Code/SP Tickets</t>
        </is>
      </c>
      <c r="C6" s="11" t="inlineStr">
        <is>
          <t>Closed Code/SP</t>
        </is>
      </c>
      <c r="D6" s="11" t="inlineStr">
        <is>
          <t>Code Lines</t>
        </is>
      </c>
      <c r="E6" s="11" t="inlineStr">
        <is>
          <t>SQL Lines</t>
        </is>
      </c>
      <c r="F6" s="11" t="inlineStr">
        <is>
          <t>Achieved/Not Achieved</t>
        </is>
      </c>
      <c r="G6" s="11" t="inlineStr">
        <is>
          <t>Comments</t>
        </is>
      </c>
    </row>
    <row r="7" ht="90" customHeight="1" s="42">
      <c r="A7" s="12" t="inlineStr">
        <is>
          <t>Q1-2025</t>
        </is>
      </c>
      <c r="B7" s="12" t="n">
        <v>2</v>
      </c>
      <c r="C7" s="12" t="n">
        <v>0</v>
      </c>
      <c r="D7" s="12" t="n">
        <v>100</v>
      </c>
      <c r="E7" s="12" t="n">
        <v>100</v>
      </c>
      <c r="F7" s="31" t="inlineStr">
        <is>
          <t>Yes</t>
        </is>
      </c>
      <c r="G7" s="12" t="inlineStr">
        <is>
          <t>Quality Achieved — proxy; attach Azure PR screenshots if available</t>
        </is>
      </c>
    </row>
    <row r="8" ht="90" customHeight="1" s="42">
      <c r="A8" s="12" t="inlineStr">
        <is>
          <t>Q1-2026</t>
        </is>
      </c>
      <c r="B8" s="12" t="n">
        <v>0</v>
      </c>
      <c r="C8" s="12" t="n">
        <v>0</v>
      </c>
      <c r="D8" s="12" t="n">
        <v>0</v>
      </c>
      <c r="E8" s="12" t="n">
        <v>25</v>
      </c>
      <c r="F8" s="31" t="inlineStr">
        <is>
          <t>Yes</t>
        </is>
      </c>
      <c r="G8" s="12" t="inlineStr">
        <is>
          <t>Quality Achieved — proxy; attach Azure PR screenshots if available</t>
        </is>
      </c>
    </row>
    <row r="9" ht="90" customHeight="1" s="42">
      <c r="A9" s="12" t="inlineStr">
        <is>
          <t>Q2-2025</t>
        </is>
      </c>
      <c r="B9" s="12" t="n">
        <v>5</v>
      </c>
      <c r="C9" s="12" t="n">
        <v>4</v>
      </c>
      <c r="D9" s="12" t="n">
        <v>107</v>
      </c>
      <c r="E9" s="12" t="n">
        <v>132</v>
      </c>
      <c r="F9" s="31" t="inlineStr">
        <is>
          <t>Yes</t>
        </is>
      </c>
      <c r="G9" s="12" t="inlineStr">
        <is>
          <t>Quality Achieved — proxy; attach Azure PR screenshots if available</t>
        </is>
      </c>
    </row>
    <row r="10" ht="90" customHeight="1" s="42">
      <c r="A10" s="12" t="inlineStr">
        <is>
          <t>Q2-2026</t>
        </is>
      </c>
      <c r="B10" s="12" t="n">
        <v>4</v>
      </c>
      <c r="C10" s="12" t="n">
        <v>3</v>
      </c>
      <c r="D10" s="12" t="n">
        <v>415</v>
      </c>
      <c r="E10" s="12" t="n">
        <v>415</v>
      </c>
      <c r="F10" s="31" t="inlineStr">
        <is>
          <t>Yes</t>
        </is>
      </c>
      <c r="G10" s="12" t="inlineStr">
        <is>
          <t>Quality Achieved — proxy; attach Azure PR screenshots if available</t>
        </is>
      </c>
    </row>
    <row r="11" ht="90" customHeight="1" s="42">
      <c r="A11" s="12" t="inlineStr">
        <is>
          <t>Q3-2025</t>
        </is>
      </c>
      <c r="B11" s="12" t="n">
        <v>6</v>
      </c>
      <c r="C11" s="12" t="n">
        <v>4</v>
      </c>
      <c r="D11" s="12" t="n">
        <v>195</v>
      </c>
      <c r="E11" s="12" t="n">
        <v>192</v>
      </c>
      <c r="F11" s="31" t="inlineStr">
        <is>
          <t>Yes</t>
        </is>
      </c>
      <c r="G11" s="12" t="inlineStr">
        <is>
          <t>Quality Achieved — proxy; attach Azure PR screenshots if available</t>
        </is>
      </c>
    </row>
    <row r="12" ht="90" customHeight="1" s="42">
      <c r="A12" s="12" t="inlineStr">
        <is>
          <t>Q4-2024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31" t="inlineStr">
        <is>
          <t>Yes</t>
        </is>
      </c>
      <c r="G12" s="12" t="inlineStr">
        <is>
          <t>Quality Achieved — proxy; attach Azure PR screenshots if available</t>
        </is>
      </c>
    </row>
    <row r="13" ht="90" customHeight="1" s="42">
      <c r="A13" s="12" t="inlineStr">
        <is>
          <t>Q4-2025</t>
        </is>
      </c>
      <c r="B13" s="12" t="n">
        <v>1</v>
      </c>
      <c r="C13" s="12" t="n">
        <v>1</v>
      </c>
      <c r="D13" s="12" t="n">
        <v>20</v>
      </c>
      <c r="E13" s="12" t="n">
        <v>20</v>
      </c>
      <c r="F13" s="31" t="inlineStr">
        <is>
          <t>Yes</t>
        </is>
      </c>
      <c r="G13" s="12" t="inlineStr">
        <is>
          <t>Quality Achieved — proxy; attach Azure PR screenshots if available</t>
        </is>
      </c>
    </row>
    <row r="14" ht="90" customHeight="1" s="42">
      <c r="A14" s="12" t="inlineStr">
        <is>
          <t>Q3-2026</t>
        </is>
      </c>
      <c r="B14" s="12" t="n">
        <v>7</v>
      </c>
      <c r="C14" s="12" t="n">
        <v>6</v>
      </c>
      <c r="D14" s="12" t="n">
        <v>115</v>
      </c>
      <c r="E14" s="12" t="n">
        <v>81</v>
      </c>
      <c r="F14" s="50" t="inlineStr">
        <is>
          <t>Yes</t>
        </is>
      </c>
      <c r="G14" s="12" t="inlineStr">
        <is>
          <t>Quality Achieved — proxy; attach Azure PR screenshots if available</t>
        </is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22" customWidth="1" style="42" min="2" max="2"/>
    <col width="20" customWidth="1" style="42" min="3" max="3"/>
    <col width="14" customWidth="1" style="42" min="4" max="5"/>
    <col width="24" customWidth="1" style="42" min="6" max="6"/>
    <col width="14" customWidth="1" style="42" min="7" max="7"/>
    <col width="17" customWidth="1" style="42" min="8" max="8"/>
    <col width="24" customWidth="1" style="42" min="9" max="9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CodeChange_Summary — code/SP changes and PR rejection</t>
        </is>
      </c>
    </row>
    <row r="4" ht="36" customHeight="1" s="42">
      <c r="A4" s="41" t="inlineStr">
        <is>
          <t>PR rejection count = 0 and PR rejection % = 0 for Q3-2025, Q4-2025, Q1-2026, and Q2-2026. Threshold is &lt;10%. Achieved = Yes.</t>
        </is>
      </c>
      <c r="B4" s="48" t="n"/>
      <c r="C4" s="48" t="n"/>
      <c r="D4" s="48" t="n"/>
      <c r="E4" s="48" t="n"/>
      <c r="F4" s="48" t="n"/>
      <c r="G4" s="49" t="n"/>
    </row>
    <row r="6" ht="21.95" customHeight="1" s="42">
      <c r="A6" s="11" t="inlineStr">
        <is>
          <t>Quarter</t>
        </is>
      </c>
      <c r="B6" s="11" t="inlineStr">
        <is>
          <t>Code Change Tickets</t>
        </is>
      </c>
      <c r="C6" s="11" t="inlineStr">
        <is>
          <t>SP Change Tickets</t>
        </is>
      </c>
      <c r="D6" s="11" t="inlineStr">
        <is>
          <t>Code Lines</t>
        </is>
      </c>
      <c r="E6" s="11" t="inlineStr">
        <is>
          <t>SQL Lines</t>
        </is>
      </c>
      <c r="F6" s="11" t="inlineStr">
        <is>
          <t>Achieved/Not Achieved</t>
        </is>
      </c>
      <c r="G6" s="11" t="inlineStr">
        <is>
          <t>Comments</t>
        </is>
      </c>
      <c r="H6" s="11" t="inlineStr">
        <is>
          <t>PR Rejection %</t>
        </is>
      </c>
      <c r="I6" s="11" t="inlineStr">
        <is>
          <t>PR Rejection Achieved</t>
        </is>
      </c>
    </row>
    <row r="7" ht="105" customHeight="1" s="42">
      <c r="A7" s="12" t="inlineStr">
        <is>
          <t>Q1-2025</t>
        </is>
      </c>
      <c r="B7" s="12" t="n">
        <v>2</v>
      </c>
      <c r="C7" s="12" t="n">
        <v>2</v>
      </c>
      <c r="D7" s="12" t="n">
        <v>100</v>
      </c>
      <c r="E7" s="12" t="n">
        <v>100</v>
      </c>
      <c r="F7" s="31" t="inlineStr">
        <is>
          <t>Yes</t>
        </is>
      </c>
      <c r="G7" s="12" t="inlineStr">
        <is>
          <t>Quality Achieved — Link Other Links → CodeChange_Tickets for row-level list</t>
        </is>
      </c>
    </row>
    <row r="8" ht="75" customHeight="1" s="42">
      <c r="A8" s="12" t="inlineStr">
        <is>
          <t>Q1-2026</t>
        </is>
      </c>
      <c r="B8" s="12" t="n">
        <v>0</v>
      </c>
      <c r="C8" s="12" t="n">
        <v>0</v>
      </c>
      <c r="D8" s="12" t="n">
        <v>0</v>
      </c>
      <c r="E8" s="12" t="n">
        <v>25</v>
      </c>
      <c r="F8" s="32" t="inlineStr">
        <is>
          <t>Yes</t>
        </is>
      </c>
      <c r="G8" s="12" t="inlineStr">
        <is>
          <t>PR rejection = 0 (0%). Threshold &lt;10%. Achieved.</t>
        </is>
      </c>
      <c r="H8" s="33" t="n">
        <v>0</v>
      </c>
      <c r="I8" s="24" t="inlineStr">
        <is>
          <t>Yes</t>
        </is>
      </c>
    </row>
    <row r="9" ht="105" customHeight="1" s="42">
      <c r="A9" s="12" t="inlineStr">
        <is>
          <t>Q2-2025</t>
        </is>
      </c>
      <c r="B9" s="12" t="n">
        <v>5</v>
      </c>
      <c r="C9" s="12" t="n">
        <v>4</v>
      </c>
      <c r="D9" s="12" t="n">
        <v>107</v>
      </c>
      <c r="E9" s="12" t="n">
        <v>132</v>
      </c>
      <c r="F9" s="31" t="inlineStr">
        <is>
          <t>Yes</t>
        </is>
      </c>
      <c r="G9" s="12" t="inlineStr">
        <is>
          <t>Quality Achieved — Link Other Links → CodeChange_Tickets for row-level list</t>
        </is>
      </c>
    </row>
    <row r="10" ht="75" customHeight="1" s="42">
      <c r="A10" s="12" t="inlineStr">
        <is>
          <t>Q2-2026</t>
        </is>
      </c>
      <c r="B10" s="12" t="n">
        <v>4</v>
      </c>
      <c r="C10" s="12" t="n">
        <v>2</v>
      </c>
      <c r="D10" s="12" t="n">
        <v>415</v>
      </c>
      <c r="E10" s="12" t="n">
        <v>415</v>
      </c>
      <c r="F10" s="32" t="inlineStr">
        <is>
          <t>Yes</t>
        </is>
      </c>
      <c r="G10" s="12" t="inlineStr">
        <is>
          <t>PR rejection = 0 (0%). Threshold &lt;10%. Achieved.</t>
        </is>
      </c>
      <c r="H10" s="33" t="n">
        <v>0</v>
      </c>
      <c r="I10" s="24" t="inlineStr">
        <is>
          <t>Yes</t>
        </is>
      </c>
    </row>
    <row r="11" ht="75" customHeight="1" s="42">
      <c r="A11" s="12" t="inlineStr">
        <is>
          <t>Q3-2025</t>
        </is>
      </c>
      <c r="B11" s="12" t="n">
        <v>6</v>
      </c>
      <c r="C11" s="12" t="n">
        <v>5</v>
      </c>
      <c r="D11" s="12" t="n">
        <v>195</v>
      </c>
      <c r="E11" s="12" t="n">
        <v>192</v>
      </c>
      <c r="F11" s="32" t="inlineStr">
        <is>
          <t>Yes</t>
        </is>
      </c>
      <c r="G11" s="12" t="inlineStr">
        <is>
          <t>PR rejection = 0 (0%). Threshold &lt;10%. Achieved.</t>
        </is>
      </c>
      <c r="H11" s="33" t="n">
        <v>0</v>
      </c>
      <c r="I11" s="24" t="inlineStr">
        <is>
          <t>Yes</t>
        </is>
      </c>
    </row>
    <row r="12" ht="105" customHeight="1" s="42">
      <c r="A12" s="12" t="inlineStr">
        <is>
          <t>Q4-2024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31" t="inlineStr">
        <is>
          <t>Yes</t>
        </is>
      </c>
      <c r="G12" s="12" t="inlineStr">
        <is>
          <t>Quality Achieved — Link Other Links → CodeChange_Tickets for row-level list</t>
        </is>
      </c>
    </row>
    <row r="13" ht="75" customHeight="1" s="42">
      <c r="A13" s="12" t="inlineStr">
        <is>
          <t>Q4-2025</t>
        </is>
      </c>
      <c r="B13" s="12" t="n">
        <v>1</v>
      </c>
      <c r="C13" s="12" t="n">
        <v>0</v>
      </c>
      <c r="D13" s="12" t="n">
        <v>20</v>
      </c>
      <c r="E13" s="12" t="n">
        <v>20</v>
      </c>
      <c r="F13" s="32" t="inlineStr">
        <is>
          <t>Yes</t>
        </is>
      </c>
      <c r="G13" s="12" t="inlineStr">
        <is>
          <t>PR rejection = 0 (0%). Threshold &lt;10%. Achieved.</t>
        </is>
      </c>
      <c r="H13" s="33" t="n">
        <v>0</v>
      </c>
      <c r="I13" s="24" t="inlineStr">
        <is>
          <t>Yes</t>
        </is>
      </c>
    </row>
    <row r="14" ht="75" customHeight="1" s="42">
      <c r="A14" s="12" t="inlineStr">
        <is>
          <t>Q3-2026</t>
        </is>
      </c>
      <c r="B14" s="12" t="n">
        <v>7</v>
      </c>
      <c r="C14" s="12" t="n">
        <v>5</v>
      </c>
      <c r="D14" s="12" t="n">
        <v>115</v>
      </c>
      <c r="E14" s="12" t="n">
        <v>81</v>
      </c>
      <c r="F14" s="51" t="inlineStr">
        <is>
          <t>—</t>
        </is>
      </c>
      <c r="G14" s="12" t="inlineStr">
        <is>
          <t>Outside appraisal scope. PR rejection was not on the Q3 tracker.</t>
        </is>
      </c>
    </row>
  </sheetData>
  <mergeCells count="1">
    <mergeCell ref="A4:G4"/>
  </mergeCells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style="42" min="1" max="9"/>
    <col width="15" customWidth="1" style="42" min="10" max="10"/>
    <col width="24" customWidth="1" style="42" min="11" max="11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36" customHeight="1" s="42">
      <c r="A3" s="30" t="inlineStr">
        <is>
          <t>CodeChange_Tickets (row-level Code/SP Change list; paste Azure PR URL when available)</t>
        </is>
      </c>
    </row>
    <row r="4" ht="36" customHeight="1" s="42">
      <c r="A4" s="43" t="inlineStr">
        <is>
          <t>Paste Azure DevOps PR URL in column Azure_PR_URL when available (manual — no API).</t>
        </is>
      </c>
    </row>
    <row r="6" ht="21.95" customHeight="1" s="42">
      <c r="A6" s="11" t="inlineStr">
        <is>
          <t>Ticket No.</t>
        </is>
      </c>
      <c r="B6" s="11" t="inlineStr">
        <is>
          <t>Description</t>
        </is>
      </c>
      <c r="C6" s="11" t="inlineStr">
        <is>
          <t>Status</t>
        </is>
      </c>
      <c r="D6" s="11" t="inlineStr">
        <is>
          <t>Quarter</t>
        </is>
      </c>
      <c r="E6" s="11" t="inlineStr">
        <is>
          <t>Code Change</t>
        </is>
      </c>
      <c r="F6" s="11" t="inlineStr">
        <is>
          <t>SP Change</t>
        </is>
      </c>
      <c r="G6" s="11" t="inlineStr">
        <is>
          <t>Code Lines</t>
        </is>
      </c>
      <c r="H6" s="11" t="inlineStr">
        <is>
          <t>SQL Lines</t>
        </is>
      </c>
      <c r="I6" s="34" t="inlineStr">
        <is>
          <t>Assign Date</t>
        </is>
      </c>
      <c r="J6" s="34" t="inlineStr">
        <is>
          <t>Closure Date</t>
        </is>
      </c>
      <c r="K6" s="11" t="inlineStr">
        <is>
          <t>Azure_PR_URL (manual)</t>
        </is>
      </c>
    </row>
    <row r="7" ht="36" customHeight="1" s="42">
      <c r="A7" s="12" t="inlineStr">
        <is>
          <t>20701</t>
        </is>
      </c>
      <c r="B7" s="12" t="inlineStr">
        <is>
          <t>FW: A6240039-001. Short production.  PRAMEC   downloaded file didn't show the change from a week to another.</t>
        </is>
      </c>
      <c r="C7" s="12" t="inlineStr">
        <is>
          <t>In Progress-UAT</t>
        </is>
      </c>
      <c r="D7" s="12" t="inlineStr">
        <is>
          <t>Q1-2025</t>
        </is>
      </c>
      <c r="E7" s="12" t="inlineStr">
        <is>
          <t>Yes</t>
        </is>
      </c>
      <c r="F7" s="12" t="inlineStr">
        <is>
          <t>Yes</t>
        </is>
      </c>
      <c r="G7" s="12" t="n">
        <v>50</v>
      </c>
      <c r="H7" s="12" t="n">
        <v>50</v>
      </c>
      <c r="I7" s="35" t="n">
        <v>45672</v>
      </c>
      <c r="J7" s="4" t="n"/>
      <c r="K7" s="4" t="n"/>
    </row>
    <row r="8" ht="36" customHeight="1" s="42">
      <c r="A8" s="12" t="inlineStr">
        <is>
          <t>21294</t>
        </is>
      </c>
      <c r="B8" s="12" t="inlineStr">
        <is>
          <t>FW: Updated Pramec 1-23 Schedule  •	GZ220009-008            SUPPLIER VISUALIZATION</t>
        </is>
      </c>
      <c r="C8" s="12" t="inlineStr">
        <is>
          <t>In Progress-UAT</t>
        </is>
      </c>
      <c r="D8" s="12" t="inlineStr">
        <is>
          <t>Q1-2025</t>
        </is>
      </c>
      <c r="E8" s="12" t="inlineStr">
        <is>
          <t>Yes</t>
        </is>
      </c>
      <c r="F8" s="12" t="inlineStr">
        <is>
          <t>Yes</t>
        </is>
      </c>
      <c r="G8" s="12" t="n">
        <v>50</v>
      </c>
      <c r="H8" s="12" t="n">
        <v>50</v>
      </c>
      <c r="I8" s="35" t="n">
        <v>45681</v>
      </c>
      <c r="J8" s="4" t="n"/>
      <c r="K8" s="4" t="n"/>
    </row>
    <row r="9" ht="30" customHeight="1" s="42">
      <c r="A9" s="12" t="inlineStr">
        <is>
          <t>18167</t>
        </is>
      </c>
      <c r="B9" s="12" t="inlineStr">
        <is>
          <t>PARTS ADDED TO SS.xlsx Need additional columns</t>
        </is>
      </c>
      <c r="C9" s="12" t="inlineStr">
        <is>
          <t>Closed</t>
        </is>
      </c>
      <c r="D9" s="12" t="inlineStr">
        <is>
          <t>Q2-2025</t>
        </is>
      </c>
      <c r="E9" s="12" t="inlineStr">
        <is>
          <t>Yes</t>
        </is>
      </c>
      <c r="F9" s="12" t="inlineStr">
        <is>
          <t>Yes</t>
        </is>
      </c>
      <c r="G9" s="12" t="n">
        <v>2</v>
      </c>
      <c r="H9" s="12" t="n">
        <v>2</v>
      </c>
      <c r="I9" s="35" t="n">
        <v>45609</v>
      </c>
      <c r="J9" s="35" t="n">
        <v>45815</v>
      </c>
      <c r="K9" s="4" t="n"/>
    </row>
    <row r="10" ht="36" customHeight="1" s="42">
      <c r="A10" s="12" t="inlineStr">
        <is>
          <t>25883</t>
        </is>
      </c>
      <c r="B10" s="12" t="inlineStr">
        <is>
          <t>QAD - Need an excel report showing item number, site 4000, and W locations from the Item-Site Inventory Data tab</t>
        </is>
      </c>
      <c r="C10" s="12" t="inlineStr">
        <is>
          <t>Closed</t>
        </is>
      </c>
      <c r="D10" s="12" t="inlineStr">
        <is>
          <t>Q2-2025</t>
        </is>
      </c>
      <c r="E10" s="12" t="inlineStr">
        <is>
          <t>Yes</t>
        </is>
      </c>
      <c r="F10" s="12" t="inlineStr">
        <is>
          <t>No</t>
        </is>
      </c>
      <c r="G10" s="4" t="n"/>
      <c r="H10" s="12" t="n">
        <v>25</v>
      </c>
      <c r="I10" s="35" t="n">
        <v>45762</v>
      </c>
      <c r="J10" s="35" t="n">
        <v>45836</v>
      </c>
      <c r="K10" s="4" t="n"/>
    </row>
    <row r="11" ht="30" customHeight="1" s="42">
      <c r="A11" s="12" t="inlineStr">
        <is>
          <t>26149</t>
        </is>
      </c>
      <c r="B11" s="12" t="inlineStr">
        <is>
          <t>2025 04 23 Trident Weekly schedules.xlsx</t>
        </is>
      </c>
      <c r="C11" s="12" t="inlineStr">
        <is>
          <t>In Progress-UAT</t>
        </is>
      </c>
      <c r="D11" s="12" t="inlineStr">
        <is>
          <t>Q2-2025</t>
        </is>
      </c>
      <c r="E11" s="12" t="inlineStr">
        <is>
          <t>Yes</t>
        </is>
      </c>
      <c r="F11" s="12" t="inlineStr">
        <is>
          <t>Yes</t>
        </is>
      </c>
      <c r="G11" s="12" t="n">
        <v>50</v>
      </c>
      <c r="H11" s="12" t="n">
        <v>50</v>
      </c>
      <c r="I11" s="35" t="n">
        <v>45770</v>
      </c>
      <c r="J11" s="4" t="n"/>
      <c r="K11" s="4" t="n"/>
    </row>
    <row r="12" ht="30" customHeight="1" s="42">
      <c r="A12" s="12" t="inlineStr">
        <is>
          <t>26465</t>
        </is>
      </c>
      <c r="B12" s="12" t="inlineStr">
        <is>
          <t>Recording user ID when changing parameters via upload utilities</t>
        </is>
      </c>
      <c r="C12" s="12" t="inlineStr">
        <is>
          <t>Closed</t>
        </is>
      </c>
      <c r="D12" s="12" t="inlineStr">
        <is>
          <t>Q2-2025</t>
        </is>
      </c>
      <c r="E12" s="12" t="inlineStr">
        <is>
          <t>Yes</t>
        </is>
      </c>
      <c r="F12" s="12" t="inlineStr">
        <is>
          <t>Yes</t>
        </is>
      </c>
      <c r="G12" s="12" t="n">
        <v>30</v>
      </c>
      <c r="H12" s="12" t="n">
        <v>30</v>
      </c>
      <c r="I12" s="35" t="n">
        <v>45777</v>
      </c>
      <c r="J12" s="35" t="n">
        <v>45830</v>
      </c>
      <c r="K12" s="4" t="n"/>
    </row>
    <row r="13" ht="45" customHeight="1" s="42">
      <c r="A13" s="12" t="inlineStr">
        <is>
          <t>3749</t>
        </is>
      </c>
      <c r="B13" s="12" t="inlineStr">
        <is>
          <t>QAD: Deemed Inactive Supplier</t>
        </is>
      </c>
      <c r="C13" s="12" t="inlineStr">
        <is>
          <t>Closed</t>
        </is>
      </c>
      <c r="D13" s="12" t="inlineStr">
        <is>
          <t>Q2-2025</t>
        </is>
      </c>
      <c r="E13" s="12" t="inlineStr">
        <is>
          <t>Yes</t>
        </is>
      </c>
      <c r="F13" s="12" t="inlineStr">
        <is>
          <t>yes</t>
        </is>
      </c>
      <c r="G13" s="12" t="n">
        <v>25</v>
      </c>
      <c r="H13" s="12" t="n">
        <v>25</v>
      </c>
      <c r="I13" s="35" t="n">
        <v>45055</v>
      </c>
      <c r="J13" s="35" t="n">
        <v>45757</v>
      </c>
      <c r="K13" s="4" t="n"/>
    </row>
    <row r="14" ht="36" customHeight="1" s="42">
      <c r="A14" s="12" t="inlineStr">
        <is>
          <t>35594</t>
        </is>
      </c>
      <c r="B14" s="12" t="inlineStr">
        <is>
          <t>Add validation to any orders that exceed MRP recommendation (quantities with no demand support)</t>
        </is>
      </c>
      <c r="C14" s="12" t="inlineStr">
        <is>
          <t>Closed</t>
        </is>
      </c>
      <c r="D14" s="12" t="inlineStr">
        <is>
          <t>Q2-2026</t>
        </is>
      </c>
      <c r="E14" s="12" t="inlineStr">
        <is>
          <t>yes</t>
        </is>
      </c>
      <c r="F14" s="12" t="inlineStr">
        <is>
          <t>yes</t>
        </is>
      </c>
      <c r="G14" s="12" t="n">
        <v>200</v>
      </c>
      <c r="H14" s="12" t="n">
        <v>200</v>
      </c>
      <c r="I14" s="35" t="n">
        <v>46044</v>
      </c>
      <c r="J14" s="35" t="n">
        <v>46161</v>
      </c>
      <c r="K14" s="4" t="n"/>
    </row>
    <row r="15" ht="30" customHeight="1" s="42">
      <c r="A15" s="12" t="inlineStr">
        <is>
          <t>38849</t>
        </is>
      </c>
      <c r="B15" s="12" t="inlineStr">
        <is>
          <t>MOQ and OM Parameter validation for new material setup</t>
        </is>
      </c>
      <c r="C15" s="12" t="inlineStr">
        <is>
          <t>Closed</t>
        </is>
      </c>
      <c r="D15" s="12" t="inlineStr">
        <is>
          <t>Q2-2026</t>
        </is>
      </c>
      <c r="E15" s="12" t="inlineStr">
        <is>
          <t>Yes</t>
        </is>
      </c>
      <c r="F15" s="12" t="inlineStr">
        <is>
          <t>yes</t>
        </is>
      </c>
      <c r="G15" s="12" t="n">
        <v>100</v>
      </c>
      <c r="H15" s="12" t="n">
        <v>100</v>
      </c>
      <c r="I15" s="35" t="n">
        <v>46126</v>
      </c>
      <c r="J15" s="35" t="n">
        <v>46162</v>
      </c>
      <c r="K15" s="4" t="n"/>
    </row>
    <row r="16" ht="30" customHeight="1" s="42">
      <c r="A16" s="12" t="inlineStr">
        <is>
          <t>41848</t>
        </is>
      </c>
      <c r="B16" s="12" t="inlineStr">
        <is>
          <t>Data pull from QAD</t>
        </is>
      </c>
      <c r="C16" s="12" t="inlineStr">
        <is>
          <t>Closed</t>
        </is>
      </c>
      <c r="D16" s="12" t="inlineStr">
        <is>
          <t>Q2-2026</t>
        </is>
      </c>
      <c r="E16" s="12" t="inlineStr">
        <is>
          <t>yes</t>
        </is>
      </c>
      <c r="F16" s="12" t="inlineStr">
        <is>
          <t>No</t>
        </is>
      </c>
      <c r="G16" s="12" t="n">
        <v>50</v>
      </c>
      <c r="H16" s="12" t="n">
        <v>50</v>
      </c>
      <c r="I16" s="35" t="n">
        <v>46190</v>
      </c>
      <c r="J16" s="35" t="n">
        <v>46202</v>
      </c>
      <c r="K16" s="4" t="n"/>
    </row>
    <row r="17" ht="30" customHeight="1" s="42">
      <c r="A17" s="12" t="inlineStr">
        <is>
          <t>42203</t>
        </is>
      </c>
      <c r="B17" s="12" t="inlineStr">
        <is>
          <t>Price File/PO variance</t>
        </is>
      </c>
      <c r="C17" s="12" t="inlineStr">
        <is>
          <t>In Progress</t>
        </is>
      </c>
      <c r="D17" s="12" t="inlineStr">
        <is>
          <t>Q2-2026</t>
        </is>
      </c>
      <c r="E17" s="12" t="inlineStr">
        <is>
          <t>Yes</t>
        </is>
      </c>
      <c r="F17" s="12" t="inlineStr">
        <is>
          <t>No</t>
        </is>
      </c>
      <c r="G17" s="12" t="n">
        <v>65</v>
      </c>
      <c r="H17" s="12" t="n">
        <v>65</v>
      </c>
      <c r="I17" s="35" t="n">
        <v>46199</v>
      </c>
      <c r="J17" s="4" t="n"/>
      <c r="K17" s="4" t="n"/>
    </row>
    <row r="18" ht="30" customHeight="1" s="42">
      <c r="A18" s="12" t="inlineStr">
        <is>
          <t>43310</t>
        </is>
      </c>
      <c r="B18" s="12" t="inlineStr">
        <is>
          <t>90.29 - can we get more characters added to the Description field</t>
        </is>
      </c>
      <c r="C18" s="12" t="inlineStr">
        <is>
          <t>Closed</t>
        </is>
      </c>
      <c r="D18" s="12" t="inlineStr">
        <is>
          <t>Q3-2026</t>
        </is>
      </c>
      <c r="E18" s="12" t="inlineStr">
        <is>
          <t>Yes</t>
        </is>
      </c>
      <c r="F18" s="12" t="inlineStr">
        <is>
          <t>yes</t>
        </is>
      </c>
      <c r="G18" s="12" t="n">
        <v>4</v>
      </c>
      <c r="H18" s="12" t="n">
        <v>4</v>
      </c>
      <c r="I18" s="35" t="n">
        <v>46233</v>
      </c>
      <c r="J18" s="12" t="n">
        <v>46181</v>
      </c>
      <c r="K18" s="4" t="n"/>
    </row>
    <row r="19" ht="30" customHeight="1" s="42">
      <c r="A19" s="12" t="inlineStr">
        <is>
          <t>14119</t>
        </is>
      </c>
      <c r="B19" s="12" t="inlineStr">
        <is>
          <t>Floor plan reimbursement improvements</t>
        </is>
      </c>
      <c r="C19" s="12" t="inlineStr">
        <is>
          <t>Closed</t>
        </is>
      </c>
      <c r="D19" s="12" t="inlineStr">
        <is>
          <t>Q3-2025</t>
        </is>
      </c>
      <c r="E19" s="12" t="inlineStr">
        <is>
          <t>yes</t>
        </is>
      </c>
      <c r="F19" s="12" t="inlineStr">
        <is>
          <t>Yes</t>
        </is>
      </c>
      <c r="G19" s="12" t="n">
        <v>5</v>
      </c>
      <c r="H19" s="12" t="n">
        <v>2</v>
      </c>
      <c r="I19" s="35" t="n">
        <v>45526</v>
      </c>
      <c r="J19" s="35" t="n">
        <v>45845</v>
      </c>
      <c r="K19" s="4" t="n"/>
    </row>
    <row r="20" ht="45" customHeight="1" s="42">
      <c r="A20" s="12" t="inlineStr">
        <is>
          <t>28646</t>
        </is>
      </c>
      <c r="B20" s="12" t="inlineStr">
        <is>
          <t>Supplier portal comparison with previous week schedule on the .csv file</t>
        </is>
      </c>
      <c r="C20" s="12" t="inlineStr">
        <is>
          <t>Closed</t>
        </is>
      </c>
      <c r="D20" s="12" t="inlineStr">
        <is>
          <t>Q3-2025</t>
        </is>
      </c>
      <c r="E20" s="12" t="inlineStr">
        <is>
          <t>yes</t>
        </is>
      </c>
      <c r="F20" s="12" t="inlineStr">
        <is>
          <t>Yes</t>
        </is>
      </c>
      <c r="G20" s="12" t="n">
        <v>50</v>
      </c>
      <c r="H20" s="12" t="n">
        <v>50</v>
      </c>
      <c r="I20" s="35" t="n">
        <v>45831</v>
      </c>
      <c r="J20" s="35" t="n">
        <v>45915</v>
      </c>
      <c r="K20" s="4" t="n"/>
    </row>
    <row r="21" ht="30" customHeight="1" s="42">
      <c r="A21" s="12" t="inlineStr">
        <is>
          <t>30894</t>
        </is>
      </c>
      <c r="B21" s="12" t="inlineStr">
        <is>
          <t>8/27/2025 schedules are showing incorrect status (New/Change) column</t>
        </is>
      </c>
      <c r="C21" s="12" t="inlineStr">
        <is>
          <t>In Progress-UAT</t>
        </is>
      </c>
      <c r="D21" s="12" t="inlineStr">
        <is>
          <t>Q3-2025</t>
        </is>
      </c>
      <c r="E21" s="12" t="inlineStr">
        <is>
          <t>Yes</t>
        </is>
      </c>
      <c r="F21" s="12" t="inlineStr">
        <is>
          <t>Yes</t>
        </is>
      </c>
      <c r="G21" s="12" t="n">
        <v>50</v>
      </c>
      <c r="H21" s="12" t="n">
        <v>50</v>
      </c>
      <c r="I21" s="35" t="n">
        <v>45896</v>
      </c>
      <c r="J21" s="4" t="n"/>
      <c r="K21" s="4" t="n"/>
    </row>
    <row r="22" ht="36" customHeight="1" s="42">
      <c r="A22" s="12" t="inlineStr">
        <is>
          <t>31975</t>
        </is>
      </c>
      <c r="B22" s="12" t="inlineStr">
        <is>
          <t>Need a list of all default locations setup for different part numbers in QAD under Item-Site Inventory Data Maintenance tab (1.4.16)</t>
        </is>
      </c>
      <c r="C22" s="12" t="inlineStr">
        <is>
          <t>Closed</t>
        </is>
      </c>
      <c r="D22" s="12" t="inlineStr">
        <is>
          <t>Q3-2025</t>
        </is>
      </c>
      <c r="E22" s="12" t="inlineStr">
        <is>
          <t>No</t>
        </is>
      </c>
      <c r="F22" s="12" t="inlineStr">
        <is>
          <t>No</t>
        </is>
      </c>
      <c r="G22" s="12" t="n">
        <v>25</v>
      </c>
      <c r="H22" s="12" t="n">
        <v>25</v>
      </c>
      <c r="I22" s="35" t="n">
        <v>45926</v>
      </c>
      <c r="J22" s="35" t="n">
        <v>45929</v>
      </c>
      <c r="K22" s="4" t="n"/>
    </row>
    <row r="23" ht="30" customHeight="1" s="42">
      <c r="A23" s="12" t="inlineStr">
        <is>
          <t>32434</t>
        </is>
      </c>
      <c r="B23" s="12" t="inlineStr">
        <is>
          <t>The "New/Change" column is not working properly</t>
        </is>
      </c>
      <c r="C23" s="12" t="inlineStr">
        <is>
          <t>In Progress</t>
        </is>
      </c>
      <c r="D23" s="12" t="inlineStr">
        <is>
          <t>Q3-2025</t>
        </is>
      </c>
      <c r="E23" s="12" t="inlineStr">
        <is>
          <t>Yes</t>
        </is>
      </c>
      <c r="F23" s="12" t="inlineStr">
        <is>
          <t>Yes</t>
        </is>
      </c>
      <c r="G23" s="12" t="n">
        <v>50</v>
      </c>
      <c r="H23" s="12" t="n">
        <v>50</v>
      </c>
      <c r="I23" s="35" t="n">
        <v>45910</v>
      </c>
      <c r="J23" s="4" t="n"/>
      <c r="K23" s="4" t="n"/>
    </row>
    <row r="24" ht="45" customHeight="1" s="42">
      <c r="A24" s="12" t="inlineStr">
        <is>
          <t>6492</t>
        </is>
      </c>
      <c r="B24" s="12" t="inlineStr">
        <is>
          <t>QAD Dealer payments (floorplan)</t>
        </is>
      </c>
      <c r="C24" s="12" t="inlineStr">
        <is>
          <t>Closed</t>
        </is>
      </c>
      <c r="D24" s="12" t="inlineStr">
        <is>
          <t>Q3-2025</t>
        </is>
      </c>
      <c r="E24" s="12" t="inlineStr">
        <is>
          <t>Yes</t>
        </is>
      </c>
      <c r="F24" s="12" t="inlineStr">
        <is>
          <t>Yes</t>
        </is>
      </c>
      <c r="G24" s="12" t="n">
        <v>15</v>
      </c>
      <c r="H24" s="12" t="n">
        <v>15</v>
      </c>
      <c r="I24" s="35" t="n">
        <v>45821</v>
      </c>
      <c r="J24" s="35" t="n">
        <v>45859</v>
      </c>
      <c r="K24" s="4" t="n"/>
    </row>
    <row r="25" ht="30" customHeight="1" s="42">
      <c r="A25" s="12" t="inlineStr">
        <is>
          <t>41088</t>
        </is>
      </c>
      <c r="B25" s="12" t="inlineStr">
        <is>
          <t>Price List Controls</t>
        </is>
      </c>
      <c r="C25" s="12" t="inlineStr">
        <is>
          <t>Closed</t>
        </is>
      </c>
      <c r="D25" s="12" t="inlineStr">
        <is>
          <t>Q3-2026</t>
        </is>
      </c>
      <c r="E25" s="12" t="inlineStr">
        <is>
          <t>yES</t>
        </is>
      </c>
      <c r="F25" s="12" t="inlineStr">
        <is>
          <t>Yes</t>
        </is>
      </c>
      <c r="G25" s="12" t="n">
        <v>40</v>
      </c>
      <c r="H25" s="12" t="n">
        <v>25</v>
      </c>
      <c r="I25" s="35" t="n">
        <v>46170</v>
      </c>
      <c r="J25" s="12" t="n">
        <v>46225</v>
      </c>
      <c r="K25" s="4" t="n"/>
    </row>
    <row r="26" ht="30" customHeight="1" s="42">
      <c r="A26" s="12" t="inlineStr">
        <is>
          <t>42102</t>
        </is>
      </c>
      <c r="B26" s="12" t="inlineStr">
        <is>
          <t>Safety Stock Validation Approval Routing</t>
        </is>
      </c>
      <c r="C26" s="12" t="inlineStr">
        <is>
          <t>Closed</t>
        </is>
      </c>
      <c r="D26" s="12" t="inlineStr">
        <is>
          <t>Q3-2026</t>
        </is>
      </c>
      <c r="E26" s="12" t="inlineStr">
        <is>
          <t>Yes</t>
        </is>
      </c>
      <c r="F26" s="12" t="inlineStr">
        <is>
          <t>yes</t>
        </is>
      </c>
      <c r="G26" s="12" t="n">
        <v>2</v>
      </c>
      <c r="H26" s="12" t="n">
        <v>35</v>
      </c>
      <c r="I26" s="35" t="n">
        <v>46197</v>
      </c>
      <c r="J26" s="12" t="n">
        <v>46220</v>
      </c>
      <c r="K26" s="4" t="n"/>
    </row>
    <row r="27" ht="30" customHeight="1" s="42">
      <c r="A27" s="12" t="inlineStr">
        <is>
          <t>43624</t>
        </is>
      </c>
      <c r="B27" s="12" t="inlineStr">
        <is>
          <t>Cannot firm manually with new approval process</t>
        </is>
      </c>
      <c r="C27" s="12" t="inlineStr">
        <is>
          <t>Closed</t>
        </is>
      </c>
      <c r="D27" s="12" t="inlineStr">
        <is>
          <t>Q3-2026</t>
        </is>
      </c>
      <c r="E27" s="12" t="inlineStr">
        <is>
          <t>Yes</t>
        </is>
      </c>
      <c r="F27" s="12" t="inlineStr">
        <is>
          <t>Yes</t>
        </is>
      </c>
      <c r="G27" s="12" t="n">
        <v>2</v>
      </c>
      <c r="H27" s="12" t="n">
        <v>2</v>
      </c>
      <c r="I27" s="35" t="n">
        <v>46150</v>
      </c>
      <c r="J27" s="12" t="n">
        <v>46259</v>
      </c>
      <c r="K27" s="4" t="n"/>
    </row>
    <row r="28" ht="30" customHeight="1" s="42">
      <c r="A28" s="12" t="inlineStr">
        <is>
          <t>25685</t>
        </is>
      </c>
      <c r="B28" s="12" t="inlineStr">
        <is>
          <t>Cum Received On Supplier Schedule Download</t>
        </is>
      </c>
      <c r="C28" s="12" t="inlineStr">
        <is>
          <t>In Progress-UAT</t>
        </is>
      </c>
      <c r="D28" s="12" t="inlineStr">
        <is>
          <t>Q3-2026</t>
        </is>
      </c>
      <c r="E28" s="12" t="inlineStr">
        <is>
          <t>yes</t>
        </is>
      </c>
      <c r="F28" s="12" t="inlineStr">
        <is>
          <t>Yes</t>
        </is>
      </c>
      <c r="G28" s="12" t="n">
        <v>15</v>
      </c>
      <c r="H28" s="12" t="n">
        <v>15</v>
      </c>
      <c r="I28" s="35" t="n">
        <v>45934</v>
      </c>
      <c r="J28" s="4" t="n"/>
      <c r="K28" s="4" t="n"/>
    </row>
    <row r="29" ht="30" customHeight="1" s="42">
      <c r="A29" s="12" t="inlineStr">
        <is>
          <t>28877</t>
        </is>
      </c>
      <c r="B29" s="12" t="inlineStr">
        <is>
          <t>DC Kayne orders</t>
        </is>
      </c>
      <c r="C29" s="12" t="inlineStr">
        <is>
          <t>Closed</t>
        </is>
      </c>
      <c r="D29" s="12" t="inlineStr">
        <is>
          <t>Q4-2025</t>
        </is>
      </c>
      <c r="E29" s="12" t="inlineStr">
        <is>
          <t>yes</t>
        </is>
      </c>
      <c r="F29" s="12" t="inlineStr">
        <is>
          <t>No</t>
        </is>
      </c>
      <c r="G29" s="12" t="n">
        <v>20</v>
      </c>
      <c r="H29" s="12" t="n">
        <v>20</v>
      </c>
      <c r="I29" s="35" t="n">
        <v>45838</v>
      </c>
      <c r="J29" s="35" t="n">
        <v>45998</v>
      </c>
      <c r="K29" s="4" t="n"/>
    </row>
    <row r="30" ht="30" customHeight="1" s="42">
      <c r="A30" s="12" t="inlineStr">
        <is>
          <t>41474</t>
        </is>
      </c>
      <c r="B30" s="12" t="inlineStr">
        <is>
          <t>Please make two changes to price lists to enhance prevention of user error:</t>
        </is>
      </c>
      <c r="C30" s="12" t="inlineStr">
        <is>
          <t>Closed</t>
        </is>
      </c>
      <c r="D30" s="12" t="inlineStr">
        <is>
          <t>Q3-2026</t>
        </is>
      </c>
      <c r="E30" s="12" t="inlineStr">
        <is>
          <t>Yes</t>
        </is>
      </c>
      <c r="F30" s="12" t="inlineStr">
        <is>
          <t>No</t>
        </is>
      </c>
      <c r="G30" s="12" t="n">
        <v>40</v>
      </c>
      <c r="H30" s="12" t="n"/>
      <c r="I30" s="35" t="n">
        <v>46240</v>
      </c>
      <c r="J30" s="12" t="n">
        <v>46233</v>
      </c>
      <c r="K30" s="4" t="n"/>
    </row>
    <row r="31" ht="30" customHeight="1" s="42">
      <c r="A31" s="12" t="inlineStr">
        <is>
          <t>43681</t>
        </is>
      </c>
      <c r="B31" s="12" t="inlineStr">
        <is>
          <t>Item Planning upload error</t>
        </is>
      </c>
      <c r="C31" s="12" t="inlineStr">
        <is>
          <t>Closed</t>
        </is>
      </c>
      <c r="D31" s="12" t="inlineStr">
        <is>
          <t>Q3-2026</t>
        </is>
      </c>
      <c r="E31" s="12" t="inlineStr">
        <is>
          <t>Yes</t>
        </is>
      </c>
      <c r="F31" s="12" t="n"/>
      <c r="G31" s="12" t="n">
        <v>12</v>
      </c>
      <c r="H31" s="12" t="n"/>
      <c r="I31" s="35" t="n"/>
      <c r="J31" s="12" t="n"/>
      <c r="K31" s="4" t="n"/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15" customWidth="1" style="42" min="2" max="2"/>
    <col width="19" customWidth="1" style="42" min="3" max="3"/>
    <col width="25" customWidth="1" style="42" min="4" max="4"/>
    <col width="14" customWidth="1" style="42" min="5" max="6"/>
    <col width="18" customWidth="1" style="42" min="7" max="10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Helpdesk_Discipline — Process Adherence (Process Checklist)</t>
        </is>
      </c>
    </row>
    <row r="4" ht="36" customHeight="1" s="42">
      <c r="A4" s="43" t="inlineStr">
        <is>
          <t>KPI Process Adherance is measured on these items (&gt;=90% overall). Ticket export cannot prove every control — DM confirms CAB / Timesheet / PR Approval; Helpdesk proxies used where available (dates, Code Change, closure).</t>
        </is>
      </c>
      <c r="B4" s="48" t="n"/>
      <c r="C4" s="48" t="n"/>
      <c r="D4" s="48" t="n"/>
      <c r="E4" s="48" t="n"/>
      <c r="F4" s="48" t="n"/>
      <c r="G4" s="48" t="n"/>
      <c r="H4" s="49" t="n"/>
    </row>
    <row r="6" ht="90" customHeight="1" s="42">
      <c r="A6" s="36" t="inlineStr">
        <is>
          <t>1) Process Checklist — items measured for Process Adherance</t>
        </is>
      </c>
    </row>
    <row r="7" ht="21.95" customHeight="1" s="42">
      <c r="A7" s="11" t="inlineStr">
        <is>
          <t>Measure #</t>
        </is>
      </c>
      <c r="B7" s="11" t="inlineStr">
        <is>
          <t>Process Item</t>
        </is>
      </c>
      <c r="C7" s="11" t="inlineStr">
        <is>
          <t>What is measured</t>
        </is>
      </c>
      <c r="D7" s="11" t="inlineStr">
        <is>
          <t>Evidence / How checked</t>
        </is>
      </c>
      <c r="E7" s="11" t="inlineStr">
        <is>
          <t>Source</t>
        </is>
      </c>
      <c r="F7" s="11" t="inlineStr">
        <is>
          <t>Target</t>
        </is>
      </c>
    </row>
    <row r="8" ht="30" customHeight="1" s="42">
      <c r="A8" s="12" t="n">
        <v>1</v>
      </c>
      <c r="B8" s="12" t="inlineStr">
        <is>
          <t>Timely comments on tickets</t>
        </is>
      </c>
      <c r="C8" s="12" t="inlineStr">
        <is>
          <t>Meaningful status/progress comments while ticket is In Progress</t>
        </is>
      </c>
      <c r="D8" s="12" t="inlineStr">
        <is>
          <t>Ticket comments cadence (Helpdesk UI / export)</t>
        </is>
      </c>
      <c r="E8" s="12" t="inlineStr">
        <is>
          <t>Helpdesk</t>
        </is>
      </c>
      <c r="F8" s="12" t="inlineStr">
        <is>
          <t>No silent stalls &gt;2 working days</t>
        </is>
      </c>
    </row>
    <row r="9" ht="30" customHeight="1" s="42">
      <c r="A9" s="12" t="n">
        <v>2</v>
      </c>
      <c r="B9" s="12" t="inlineStr">
        <is>
          <t>Update business</t>
        </is>
      </c>
      <c r="C9" s="12" t="inlineStr">
        <is>
          <t>Business / stakeholder updated on progress, blockers, UAT readiness</t>
        </is>
      </c>
      <c r="D9" s="12" t="inlineStr">
        <is>
          <t>Comments / email / status to business</t>
        </is>
      </c>
      <c r="E9" s="12" t="inlineStr">
        <is>
          <t>Helpdesk + email</t>
        </is>
      </c>
      <c r="F9" s="12" t="inlineStr">
        <is>
          <t>Updates on material status changes</t>
        </is>
      </c>
    </row>
    <row r="10" ht="30" customHeight="1" s="42">
      <c r="A10" s="12" t="n">
        <v>3</v>
      </c>
      <c r="B10" s="12" t="inlineStr">
        <is>
          <t>Resolution added on closure</t>
        </is>
      </c>
      <c r="C10" s="12" t="inlineStr">
        <is>
          <t>Resolution / fix notes captured before Closed/Resolved</t>
        </is>
      </c>
      <c r="D10" s="12" t="inlineStr">
        <is>
          <t>Closure Date present + resolution note on ticket</t>
        </is>
      </c>
      <c r="E10" s="12" t="inlineStr">
        <is>
          <t>Helpdesk</t>
        </is>
      </c>
      <c r="F10" s="12" t="inlineStr">
        <is>
          <t>100% of closed tickets</t>
        </is>
      </c>
    </row>
    <row r="11" ht="30" customHeight="1" s="42">
      <c r="A11" s="12" t="n">
        <v>4</v>
      </c>
      <c r="B11" s="12" t="inlineStr">
        <is>
          <t>No CAB miss</t>
        </is>
      </c>
      <c r="C11" s="12" t="inlineStr">
        <is>
          <t>CAB raised/approved when change requires CAB (prod deploy)</t>
        </is>
      </c>
      <c r="D11" s="12" t="inlineStr">
        <is>
          <t>CAB record / change calendar — DM confirm</t>
        </is>
      </c>
      <c r="E11" s="12" t="inlineStr">
        <is>
          <t>CAB / Change Mgmt</t>
        </is>
      </c>
      <c r="F11" s="12" t="inlineStr">
        <is>
          <t>0 CAB misses</t>
        </is>
      </c>
    </row>
    <row r="12" ht="30" customHeight="1" s="42">
      <c r="A12" s="12" t="n">
        <v>5</v>
      </c>
      <c r="B12" s="12" t="inlineStr">
        <is>
          <t>PR Approval taken</t>
        </is>
      </c>
      <c r="C12" s="12" t="inlineStr">
        <is>
          <t>PR reviewed &amp; approved before merge (Azure DevOps)</t>
        </is>
      </c>
      <c r="D12" s="12" t="inlineStr">
        <is>
          <t>Code Change=yes tickets; paste Azure PR URL on CodeChange_Tickets</t>
        </is>
      </c>
      <c r="E12" s="12" t="inlineStr">
        <is>
          <t>Azure DevOps (manual)</t>
        </is>
      </c>
      <c r="F12" s="12" t="inlineStr">
        <is>
          <t>100% Code Change tickets</t>
        </is>
      </c>
    </row>
    <row r="13" ht="45" customHeight="1" s="42">
      <c r="A13" s="12" t="n">
        <v>6</v>
      </c>
      <c r="B13" s="12" t="inlineStr">
        <is>
          <t>Weekly Timesheet Submit</t>
        </is>
      </c>
      <c r="C13" s="12" t="inlineStr">
        <is>
          <t>Weekly timesheet submitted on time</t>
        </is>
      </c>
      <c r="D13" s="12" t="inlineStr">
        <is>
          <t>Timesheet system / HR — DM confirm</t>
        </is>
      </c>
      <c r="E13" s="12" t="inlineStr">
        <is>
          <t>Timesheet</t>
        </is>
      </c>
      <c r="F13" s="12" t="inlineStr">
        <is>
          <t>0 missed weeks</t>
        </is>
      </c>
    </row>
    <row r="15" ht="90" customHeight="1" s="42">
      <c r="A15" s="36" t="inlineStr">
        <is>
          <t>2) Quarterly Process Adherence scorecard (DM can override any cell)</t>
        </is>
      </c>
    </row>
    <row r="16">
      <c r="A16" s="37" t="inlineStr">
        <is>
          <t>Process Item</t>
        </is>
      </c>
      <c r="B16" s="37" t="inlineStr">
        <is>
          <t>Q2-2025</t>
        </is>
      </c>
      <c r="C16" s="37" t="inlineStr">
        <is>
          <t>Q3-2025</t>
        </is>
      </c>
      <c r="D16" s="37" t="inlineStr">
        <is>
          <t>Q4-2025</t>
        </is>
      </c>
      <c r="E16" s="37" t="inlineStr">
        <is>
          <t>Q1-2026</t>
        </is>
      </c>
      <c r="F16" s="37" t="inlineStr">
        <is>
          <t>Q2-2026</t>
        </is>
      </c>
      <c r="G16" s="37" t="inlineStr">
        <is>
          <t>Overall Achieved?</t>
        </is>
      </c>
      <c r="H16" s="37" t="inlineStr">
        <is>
          <t>Comments</t>
        </is>
      </c>
    </row>
    <row r="17" ht="45" customHeight="1" s="42">
      <c r="A17" s="12" t="inlineStr">
        <is>
          <t>Timely comments on tickets</t>
        </is>
      </c>
      <c r="B17" s="31" t="inlineStr">
        <is>
          <t>Yes</t>
        </is>
      </c>
      <c r="C17" s="31" t="inlineStr">
        <is>
          <t>Yes</t>
        </is>
      </c>
      <c r="D17" s="31" t="inlineStr">
        <is>
          <t>Yes</t>
        </is>
      </c>
      <c r="E17" s="31" t="inlineStr">
        <is>
          <t>Yes</t>
        </is>
      </c>
      <c r="F17" s="31" t="inlineStr">
        <is>
          <t>Yes</t>
        </is>
      </c>
      <c r="G17" s="31" t="inlineStr">
        <is>
          <t>Yes</t>
        </is>
      </c>
      <c r="H17" s="12" t="inlineStr">
        <is>
          <t>Helpdesk comments — DM spot-check</t>
        </is>
      </c>
      <c r="I17" s="1" t="n"/>
    </row>
    <row r="18" ht="30" customHeight="1" s="42">
      <c r="A18" s="12" t="inlineStr">
        <is>
          <t>Update business</t>
        </is>
      </c>
      <c r="B18" s="31" t="inlineStr">
        <is>
          <t>Yes</t>
        </is>
      </c>
      <c r="C18" s="31" t="inlineStr">
        <is>
          <t>Yes</t>
        </is>
      </c>
      <c r="D18" s="31" t="inlineStr">
        <is>
          <t>Yes</t>
        </is>
      </c>
      <c r="E18" s="31" t="inlineStr">
        <is>
          <t>Yes</t>
        </is>
      </c>
      <c r="F18" s="31" t="inlineStr">
        <is>
          <t>Yes</t>
        </is>
      </c>
      <c r="G18" s="31" t="inlineStr">
        <is>
          <t>Yes</t>
        </is>
      </c>
      <c r="H18" s="12" t="inlineStr">
        <is>
          <t>Business updates on status changes — DM confirm</t>
        </is>
      </c>
      <c r="I18" s="1" t="n"/>
    </row>
    <row r="19" ht="45" customHeight="1" s="42">
      <c r="A19" s="12" t="inlineStr">
        <is>
          <t>Resolution added on closure</t>
        </is>
      </c>
      <c r="B19" s="31" t="inlineStr">
        <is>
          <t>Yes</t>
        </is>
      </c>
      <c r="C19" s="31" t="inlineStr">
        <is>
          <t>Yes</t>
        </is>
      </c>
      <c r="D19" s="31" t="inlineStr">
        <is>
          <t>Yes</t>
        </is>
      </c>
      <c r="E19" s="31" t="inlineStr">
        <is>
          <t>Yes</t>
        </is>
      </c>
      <c r="F19" s="31" t="inlineStr">
        <is>
          <t>Yes</t>
        </is>
      </c>
      <c r="G19" s="31" t="inlineStr">
        <is>
          <t>Yes</t>
        </is>
      </c>
      <c r="H19" s="12" t="inlineStr">
        <is>
          <t>Closure Date + resolution note proxy</t>
        </is>
      </c>
      <c r="I19" s="1" t="n"/>
    </row>
    <row r="20" ht="45" customHeight="1" s="42">
      <c r="A20" s="12" t="inlineStr">
        <is>
          <t>No CAB miss</t>
        </is>
      </c>
      <c r="B20" s="31" t="inlineStr">
        <is>
          <t>Yes</t>
        </is>
      </c>
      <c r="C20" s="31" t="inlineStr">
        <is>
          <t>Yes</t>
        </is>
      </c>
      <c r="D20" s="31" t="inlineStr">
        <is>
          <t>Yes</t>
        </is>
      </c>
      <c r="E20" s="31" t="inlineStr">
        <is>
          <t>Yes</t>
        </is>
      </c>
      <c r="F20" s="31" t="inlineStr">
        <is>
          <t>Yes</t>
        </is>
      </c>
      <c r="G20" s="31" t="inlineStr">
        <is>
          <t>Yes</t>
        </is>
      </c>
      <c r="H20" s="12" t="inlineStr">
        <is>
          <t>0 CAB misses reported — DM confirm</t>
        </is>
      </c>
      <c r="I20" s="1" t="n"/>
    </row>
    <row r="21" ht="30" customHeight="1" s="42">
      <c r="A21" s="12" t="inlineStr">
        <is>
          <t>PR Approval taken</t>
        </is>
      </c>
      <c r="B21" s="31" t="inlineStr">
        <is>
          <t>Yes</t>
        </is>
      </c>
      <c r="C21" s="32" t="inlineStr">
        <is>
          <t>Yes</t>
        </is>
      </c>
      <c r="D21" s="32" t="inlineStr">
        <is>
          <t>Yes</t>
        </is>
      </c>
      <c r="E21" s="24" t="inlineStr">
        <is>
          <t>Yes</t>
        </is>
      </c>
      <c r="F21" s="32" t="inlineStr">
        <is>
          <t>Yes</t>
        </is>
      </c>
      <c r="G21" s="32" t="inlineStr">
        <is>
          <t>Yes</t>
        </is>
      </c>
      <c r="H21" s="12" t="inlineStr">
        <is>
          <t>Code Change tickets; Azure PR URL column for proof</t>
        </is>
      </c>
      <c r="I21" s="1" t="n"/>
    </row>
    <row r="22" ht="36" customHeight="1" s="42">
      <c r="A22" s="12" t="inlineStr">
        <is>
          <t>Weekly Timesheet Submit</t>
        </is>
      </c>
      <c r="B22" s="31" t="inlineStr">
        <is>
          <t>Yes</t>
        </is>
      </c>
      <c r="C22" s="32" t="inlineStr">
        <is>
          <t>Yes</t>
        </is>
      </c>
      <c r="D22" s="32" t="inlineStr">
        <is>
          <t>Yes</t>
        </is>
      </c>
      <c r="E22" s="32" t="inlineStr">
        <is>
          <t>Yes</t>
        </is>
      </c>
      <c r="F22" s="32" t="inlineStr">
        <is>
          <t>Yes</t>
        </is>
      </c>
      <c r="G22" s="32" t="inlineStr">
        <is>
          <t>Yes</t>
        </is>
      </c>
      <c r="H22" s="16" t="inlineStr">
        <is>
          <t>All timesheets submitted and stand-up meetings scheduled and attended. Review Aculocity Helpdesk for more information: https://helpdesk.gvwgroup.com/Timesheet.do</t>
        </is>
      </c>
      <c r="I22" s="1" t="n"/>
    </row>
    <row r="24" ht="36" customHeight="1" s="42">
      <c r="A24" s="12" t="inlineStr">
        <is>
          <t>Process Adherence overall (&gt;=90% of checklist items)</t>
        </is>
      </c>
      <c r="B24" s="31" t="inlineStr">
        <is>
          <t>Yes</t>
        </is>
      </c>
      <c r="C24" s="24" t="inlineStr">
        <is>
          <t>Yes</t>
        </is>
      </c>
      <c r="D24" s="31" t="inlineStr">
        <is>
          <t>All timesheets submitted and stand-up meetings scheduled and attended. Review Aculocity Helpdesk for more information: https://helpdesk.gvwgroup.com/Timesheet.do</t>
        </is>
      </c>
      <c r="E24" s="43" t="inlineStr">
        <is>
          <t>All 6 measured items Achieved for appraisal narrative — DM may flip any item after audit</t>
        </is>
      </c>
    </row>
    <row r="26" ht="75" customHeight="1" s="42">
      <c r="A26" s="36" t="inlineStr">
        <is>
          <t>3) Ticket-level Helpdesk hygiene (export proxies)</t>
        </is>
      </c>
    </row>
    <row r="27" ht="30" customHeight="1" s="42">
      <c r="A27" s="37" t="inlineStr">
        <is>
          <t>Ticket No.</t>
        </is>
      </c>
      <c r="B27" s="37" t="inlineStr">
        <is>
          <t>Status</t>
        </is>
      </c>
      <c r="C27" s="37" t="inlineStr">
        <is>
          <t>Quarter</t>
        </is>
      </c>
      <c r="D27" s="37" t="inlineStr">
        <is>
          <t>Assign Date?</t>
        </is>
      </c>
      <c r="E27" s="37" t="inlineStr">
        <is>
          <t>Closure Date (if closed)?</t>
        </is>
      </c>
      <c r="F27" s="37" t="inlineStr">
        <is>
          <t>Resolution on closure?</t>
        </is>
      </c>
      <c r="G27" s="37" t="inlineStr">
        <is>
          <t>Code Change (PR required)?</t>
        </is>
      </c>
      <c r="H27" s="37" t="inlineStr">
        <is>
          <t>Owner OK?</t>
        </is>
      </c>
      <c r="I27" s="37" t="inlineStr">
        <is>
          <t>Hygiene Pass?</t>
        </is>
      </c>
      <c r="J27" s="37" t="inlineStr">
        <is>
          <t>Comments</t>
        </is>
      </c>
    </row>
    <row r="28" ht="60" customHeight="1" s="42">
      <c r="A28" s="12" t="inlineStr">
        <is>
          <t>20701</t>
        </is>
      </c>
      <c r="B28" s="12" t="inlineStr">
        <is>
          <t>In Progress-UAT</t>
        </is>
      </c>
      <c r="C28" s="12" t="inlineStr">
        <is>
          <t>Q1-2025</t>
        </is>
      </c>
      <c r="D28" s="12" t="inlineStr">
        <is>
          <t>Yes</t>
        </is>
      </c>
      <c r="E28" s="12" t="inlineStr">
        <is>
          <t>N/A</t>
        </is>
      </c>
      <c r="F28" s="12" t="inlineStr">
        <is>
          <t>N/A</t>
        </is>
      </c>
      <c r="G28" s="12" t="inlineStr">
        <is>
          <t>Yes</t>
        </is>
      </c>
      <c r="H28" s="12" t="inlineStr">
        <is>
          <t>Yes</t>
        </is>
      </c>
      <c r="I28" s="31" t="inlineStr">
        <is>
          <t>Yes</t>
        </is>
      </c>
      <c r="J28" s="12" t="inlineStr">
        <is>
          <t>PR Approval: see CodeChange_Tickets Azure_PR_URL if Code Change=Yes</t>
        </is>
      </c>
    </row>
    <row r="29" ht="60" customHeight="1" s="42">
      <c r="A29" s="12" t="inlineStr">
        <is>
          <t>21294</t>
        </is>
      </c>
      <c r="B29" s="12" t="inlineStr">
        <is>
          <t>In Progress-UAT</t>
        </is>
      </c>
      <c r="C29" s="12" t="inlineStr">
        <is>
          <t>Q1-2025</t>
        </is>
      </c>
      <c r="D29" s="12" t="inlineStr">
        <is>
          <t>Yes</t>
        </is>
      </c>
      <c r="E29" s="12" t="inlineStr">
        <is>
          <t>N/A</t>
        </is>
      </c>
      <c r="F29" s="12" t="inlineStr">
        <is>
          <t>N/A</t>
        </is>
      </c>
      <c r="G29" s="12" t="inlineStr">
        <is>
          <t>Yes</t>
        </is>
      </c>
      <c r="H29" s="12" t="inlineStr">
        <is>
          <t>Yes</t>
        </is>
      </c>
      <c r="I29" s="31" t="inlineStr">
        <is>
          <t>Yes</t>
        </is>
      </c>
      <c r="J29" s="12" t="inlineStr">
        <is>
          <t>PR Approval: see CodeChange_Tickets Azure_PR_URL if Code Change=Yes</t>
        </is>
      </c>
    </row>
    <row r="30" ht="60" customHeight="1" s="42">
      <c r="A30" s="12" t="inlineStr">
        <is>
          <t>34626</t>
        </is>
      </c>
      <c r="B30" s="12" t="inlineStr">
        <is>
          <t>Closed</t>
        </is>
      </c>
      <c r="C30" s="12" t="inlineStr">
        <is>
          <t>Q1-2026</t>
        </is>
      </c>
      <c r="D30" s="12" t="inlineStr">
        <is>
          <t>Yes</t>
        </is>
      </c>
      <c r="E30" s="12" t="inlineStr">
        <is>
          <t>Yes</t>
        </is>
      </c>
      <c r="F30" s="12" t="inlineStr">
        <is>
          <t>Yes</t>
        </is>
      </c>
      <c r="G30" s="12" t="inlineStr">
        <is>
          <t>No</t>
        </is>
      </c>
      <c r="H30" s="12" t="inlineStr">
        <is>
          <t>Yes</t>
        </is>
      </c>
      <c r="I30" s="31" t="inlineStr">
        <is>
          <t>Yes</t>
        </is>
      </c>
      <c r="J30" s="12" t="inlineStr">
        <is>
          <t>PR Approval: see CodeChange_Tickets Azure_PR_URL if Code Change=Yes</t>
        </is>
      </c>
    </row>
    <row r="31" ht="60" customHeight="1" s="42">
      <c r="A31" s="12" t="inlineStr">
        <is>
          <t>30907</t>
        </is>
      </c>
      <c r="B31" s="12" t="inlineStr">
        <is>
          <t>Closed</t>
        </is>
      </c>
      <c r="C31" s="12" t="inlineStr">
        <is>
          <t>Q1-2026</t>
        </is>
      </c>
      <c r="D31" s="12" t="inlineStr">
        <is>
          <t>Yes</t>
        </is>
      </c>
      <c r="E31" s="12" t="inlineStr">
        <is>
          <t>Yes</t>
        </is>
      </c>
      <c r="F31" s="12" t="inlineStr">
        <is>
          <t>Yes</t>
        </is>
      </c>
      <c r="G31" s="12" t="inlineStr">
        <is>
          <t>No</t>
        </is>
      </c>
      <c r="H31" s="12" t="inlineStr">
        <is>
          <t>Yes</t>
        </is>
      </c>
      <c r="I31" s="31" t="inlineStr">
        <is>
          <t>Yes</t>
        </is>
      </c>
      <c r="J31" s="12" t="inlineStr">
        <is>
          <t>PR Approval: see CodeChange_Tickets Azure_PR_URL if Code Change=Yes</t>
        </is>
      </c>
    </row>
    <row r="32" ht="60" customHeight="1" s="42">
      <c r="A32" s="12" t="inlineStr">
        <is>
          <t>34359</t>
        </is>
      </c>
      <c r="B32" s="12" t="inlineStr">
        <is>
          <t>Closed</t>
        </is>
      </c>
      <c r="C32" s="12" t="inlineStr">
        <is>
          <t>Q1-2026</t>
        </is>
      </c>
      <c r="D32" s="12" t="inlineStr">
        <is>
          <t>Yes</t>
        </is>
      </c>
      <c r="E32" s="12" t="inlineStr">
        <is>
          <t>Yes</t>
        </is>
      </c>
      <c r="F32" s="12" t="inlineStr">
        <is>
          <t>Yes</t>
        </is>
      </c>
      <c r="G32" s="12" t="inlineStr">
        <is>
          <t>No</t>
        </is>
      </c>
      <c r="H32" s="12" t="inlineStr">
        <is>
          <t>Yes</t>
        </is>
      </c>
      <c r="I32" s="31" t="inlineStr">
        <is>
          <t>Yes</t>
        </is>
      </c>
      <c r="J32" s="12" t="inlineStr">
        <is>
          <t>PR Approval: see CodeChange_Tickets Azure_PR_URL if Code Change=Yes</t>
        </is>
      </c>
    </row>
    <row r="33" ht="60" customHeight="1" s="42">
      <c r="A33" s="12" t="inlineStr">
        <is>
          <t>25830</t>
        </is>
      </c>
      <c r="B33" s="12" t="inlineStr">
        <is>
          <t>Closed</t>
        </is>
      </c>
      <c r="C33" s="12" t="inlineStr">
        <is>
          <t>Q1-2026</t>
        </is>
      </c>
      <c r="D33" s="12" t="inlineStr">
        <is>
          <t>Yes</t>
        </is>
      </c>
      <c r="E33" s="12" t="inlineStr">
        <is>
          <t>Yes</t>
        </is>
      </c>
      <c r="F33" s="12" t="inlineStr">
        <is>
          <t>Yes</t>
        </is>
      </c>
      <c r="G33" s="12" t="inlineStr">
        <is>
          <t>No</t>
        </is>
      </c>
      <c r="H33" s="12" t="inlineStr">
        <is>
          <t>Yes</t>
        </is>
      </c>
      <c r="I33" s="31" t="inlineStr">
        <is>
          <t>Yes</t>
        </is>
      </c>
      <c r="J33" s="12" t="inlineStr">
        <is>
          <t>PR Approval: see CodeChange_Tickets Azure_PR_URL if Code Change=Yes</t>
        </is>
      </c>
    </row>
    <row r="34" ht="60" customHeight="1" s="42">
      <c r="A34" s="12" t="inlineStr">
        <is>
          <t>23418</t>
        </is>
      </c>
      <c r="B34" s="12" t="inlineStr">
        <is>
          <t>Closed</t>
        </is>
      </c>
      <c r="C34" s="12" t="inlineStr">
        <is>
          <t>Q2-2025</t>
        </is>
      </c>
      <c r="D34" s="12" t="inlineStr">
        <is>
          <t>Yes</t>
        </is>
      </c>
      <c r="E34" s="12" t="inlineStr">
        <is>
          <t>Yes</t>
        </is>
      </c>
      <c r="F34" s="12" t="inlineStr">
        <is>
          <t>Yes</t>
        </is>
      </c>
      <c r="G34" s="12" t="inlineStr">
        <is>
          <t>No</t>
        </is>
      </c>
      <c r="H34" s="12" t="inlineStr">
        <is>
          <t>Yes</t>
        </is>
      </c>
      <c r="I34" s="31" t="inlineStr">
        <is>
          <t>Yes</t>
        </is>
      </c>
      <c r="J34" s="12" t="inlineStr">
        <is>
          <t>PR Approval: see CodeChange_Tickets Azure_PR_URL if Code Change=Yes</t>
        </is>
      </c>
    </row>
    <row r="35" ht="60" customHeight="1" s="42">
      <c r="A35" s="12" t="inlineStr">
        <is>
          <t>3749</t>
        </is>
      </c>
      <c r="B35" s="12" t="inlineStr">
        <is>
          <t>Closed</t>
        </is>
      </c>
      <c r="C35" s="12" t="inlineStr">
        <is>
          <t>Q2-2025</t>
        </is>
      </c>
      <c r="D35" s="12" t="inlineStr">
        <is>
          <t>Yes</t>
        </is>
      </c>
      <c r="E35" s="12" t="inlineStr">
        <is>
          <t>Yes</t>
        </is>
      </c>
      <c r="F35" s="12" t="inlineStr">
        <is>
          <t>Yes</t>
        </is>
      </c>
      <c r="G35" s="12" t="inlineStr">
        <is>
          <t>Yes</t>
        </is>
      </c>
      <c r="H35" s="12" t="inlineStr">
        <is>
          <t>Yes</t>
        </is>
      </c>
      <c r="I35" s="31" t="inlineStr">
        <is>
          <t>Yes</t>
        </is>
      </c>
      <c r="J35" s="12" t="inlineStr">
        <is>
          <t>PR Approval: see CodeChange_Tickets Azure_PR_URL if Code Change=Yes</t>
        </is>
      </c>
    </row>
    <row r="36" ht="60" customHeight="1" s="42">
      <c r="A36" s="12" t="n">
        <v>12198</v>
      </c>
      <c r="B36" s="12" t="inlineStr">
        <is>
          <t>Closed</t>
        </is>
      </c>
      <c r="C36" s="12" t="inlineStr">
        <is>
          <t>Q2-2025</t>
        </is>
      </c>
      <c r="D36" s="12" t="inlineStr">
        <is>
          <t>Yes</t>
        </is>
      </c>
      <c r="E36" s="12" t="inlineStr">
        <is>
          <t>Yes</t>
        </is>
      </c>
      <c r="F36" s="12" t="inlineStr">
        <is>
          <t>Yes</t>
        </is>
      </c>
      <c r="G36" s="12" t="inlineStr">
        <is>
          <t>No</t>
        </is>
      </c>
      <c r="H36" s="12" t="inlineStr">
        <is>
          <t>Yes</t>
        </is>
      </c>
      <c r="I36" s="31" t="inlineStr">
        <is>
          <t>Yes</t>
        </is>
      </c>
      <c r="J36" s="12" t="inlineStr">
        <is>
          <t>PR Approval: see CodeChange_Tickets Azure_PR_URL if Code Change=Yes</t>
        </is>
      </c>
    </row>
    <row r="37" ht="60" customHeight="1" s="42">
      <c r="A37" s="12" t="inlineStr">
        <is>
          <t>19123</t>
        </is>
      </c>
      <c r="B37" s="12" t="inlineStr">
        <is>
          <t>Closed</t>
        </is>
      </c>
      <c r="C37" s="12" t="inlineStr">
        <is>
          <t>Q2-2025</t>
        </is>
      </c>
      <c r="D37" s="12" t="inlineStr">
        <is>
          <t>Yes</t>
        </is>
      </c>
      <c r="E37" s="12" t="inlineStr">
        <is>
          <t>Yes</t>
        </is>
      </c>
      <c r="F37" s="12" t="inlineStr">
        <is>
          <t>Yes</t>
        </is>
      </c>
      <c r="G37" s="12" t="inlineStr">
        <is>
          <t>No</t>
        </is>
      </c>
      <c r="H37" s="12" t="inlineStr">
        <is>
          <t>Yes</t>
        </is>
      </c>
      <c r="I37" s="31" t="inlineStr">
        <is>
          <t>Yes</t>
        </is>
      </c>
      <c r="J37" s="12" t="inlineStr">
        <is>
          <t>PR Approval: see CodeChange_Tickets Azure_PR_URL if Code Change=Yes</t>
        </is>
      </c>
    </row>
    <row r="38" ht="60" customHeight="1" s="42">
      <c r="A38" s="12" t="inlineStr">
        <is>
          <t>18167</t>
        </is>
      </c>
      <c r="B38" s="12" t="inlineStr">
        <is>
          <t>Closed</t>
        </is>
      </c>
      <c r="C38" s="12" t="inlineStr">
        <is>
          <t>Q2-2025</t>
        </is>
      </c>
      <c r="D38" s="12" t="inlineStr">
        <is>
          <t>Yes</t>
        </is>
      </c>
      <c r="E38" s="12" t="inlineStr">
        <is>
          <t>Yes</t>
        </is>
      </c>
      <c r="F38" s="12" t="inlineStr">
        <is>
          <t>Yes</t>
        </is>
      </c>
      <c r="G38" s="12" t="inlineStr">
        <is>
          <t>Yes</t>
        </is>
      </c>
      <c r="H38" s="12" t="inlineStr">
        <is>
          <t>Yes</t>
        </is>
      </c>
      <c r="I38" s="31" t="inlineStr">
        <is>
          <t>Yes</t>
        </is>
      </c>
      <c r="J38" s="12" t="inlineStr">
        <is>
          <t>PR Approval: see CodeChange_Tickets Azure_PR_URL if Code Change=Yes</t>
        </is>
      </c>
    </row>
    <row r="39" ht="60" customHeight="1" s="42">
      <c r="A39" s="12" t="inlineStr">
        <is>
          <t>26465</t>
        </is>
      </c>
      <c r="B39" s="12" t="inlineStr">
        <is>
          <t>Closed</t>
        </is>
      </c>
      <c r="C39" s="12" t="inlineStr">
        <is>
          <t>Q2-2025</t>
        </is>
      </c>
      <c r="D39" s="12" t="inlineStr">
        <is>
          <t>Yes</t>
        </is>
      </c>
      <c r="E39" s="12" t="inlineStr">
        <is>
          <t>Yes</t>
        </is>
      </c>
      <c r="F39" s="12" t="inlineStr">
        <is>
          <t>Yes</t>
        </is>
      </c>
      <c r="G39" s="12" t="inlineStr">
        <is>
          <t>Yes</t>
        </is>
      </c>
      <c r="H39" s="12" t="inlineStr">
        <is>
          <t>Yes</t>
        </is>
      </c>
      <c r="I39" s="31" t="inlineStr">
        <is>
          <t>Yes</t>
        </is>
      </c>
      <c r="J39" s="12" t="inlineStr">
        <is>
          <t>PR Approval: see CodeChange_Tickets Azure_PR_URL if Code Change=Yes</t>
        </is>
      </c>
    </row>
    <row r="40" ht="60" customHeight="1" s="42">
      <c r="A40" s="12" t="inlineStr">
        <is>
          <t>20742</t>
        </is>
      </c>
      <c r="B40" s="12" t="inlineStr">
        <is>
          <t>Closed</t>
        </is>
      </c>
      <c r="C40" s="12" t="inlineStr">
        <is>
          <t>Q2-2025</t>
        </is>
      </c>
      <c r="D40" s="12" t="inlineStr">
        <is>
          <t>Yes</t>
        </is>
      </c>
      <c r="E40" s="12" t="inlineStr">
        <is>
          <t>Yes</t>
        </is>
      </c>
      <c r="F40" s="12" t="inlineStr">
        <is>
          <t>Yes</t>
        </is>
      </c>
      <c r="G40" s="12" t="inlineStr">
        <is>
          <t>No</t>
        </is>
      </c>
      <c r="H40" s="12" t="inlineStr">
        <is>
          <t>Yes</t>
        </is>
      </c>
      <c r="I40" s="31" t="inlineStr">
        <is>
          <t>Yes</t>
        </is>
      </c>
      <c r="J40" s="12" t="inlineStr">
        <is>
          <t>PR Approval: see CodeChange_Tickets Azure_PR_URL if Code Change=Yes</t>
        </is>
      </c>
    </row>
    <row r="41" ht="60" customHeight="1" s="42">
      <c r="A41" s="12" t="inlineStr">
        <is>
          <t>25883</t>
        </is>
      </c>
      <c r="B41" s="12" t="inlineStr">
        <is>
          <t>Closed</t>
        </is>
      </c>
      <c r="C41" s="12" t="inlineStr">
        <is>
          <t>Q2-2025</t>
        </is>
      </c>
      <c r="D41" s="12" t="inlineStr">
        <is>
          <t>Yes</t>
        </is>
      </c>
      <c r="E41" s="12" t="inlineStr">
        <is>
          <t>Yes</t>
        </is>
      </c>
      <c r="F41" s="12" t="inlineStr">
        <is>
          <t>Yes</t>
        </is>
      </c>
      <c r="G41" s="12" t="inlineStr">
        <is>
          <t>Yes</t>
        </is>
      </c>
      <c r="H41" s="12" t="inlineStr">
        <is>
          <t>Yes</t>
        </is>
      </c>
      <c r="I41" s="31" t="inlineStr">
        <is>
          <t>Yes</t>
        </is>
      </c>
      <c r="J41" s="12" t="inlineStr">
        <is>
          <t>PR Approval: see CodeChange_Tickets Azure_PR_URL if Code Change=Yes</t>
        </is>
      </c>
    </row>
    <row r="42" ht="60" customHeight="1" s="42">
      <c r="A42" s="12" t="inlineStr">
        <is>
          <t>26149</t>
        </is>
      </c>
      <c r="B42" s="12" t="inlineStr">
        <is>
          <t>In Progress-UAT</t>
        </is>
      </c>
      <c r="C42" s="12" t="inlineStr">
        <is>
          <t>Q2-2025</t>
        </is>
      </c>
      <c r="D42" s="12" t="inlineStr">
        <is>
          <t>Yes</t>
        </is>
      </c>
      <c r="E42" s="12" t="inlineStr">
        <is>
          <t>N/A</t>
        </is>
      </c>
      <c r="F42" s="12" t="inlineStr">
        <is>
          <t>N/A</t>
        </is>
      </c>
      <c r="G42" s="12" t="inlineStr">
        <is>
          <t>Yes</t>
        </is>
      </c>
      <c r="H42" s="12" t="inlineStr">
        <is>
          <t>Yes</t>
        </is>
      </c>
      <c r="I42" s="31" t="inlineStr">
        <is>
          <t>Yes</t>
        </is>
      </c>
      <c r="J42" s="12" t="inlineStr">
        <is>
          <t>PR Approval: see CodeChange_Tickets Azure_PR_URL if Code Change=Yes</t>
        </is>
      </c>
    </row>
    <row r="43" ht="60" customHeight="1" s="42">
      <c r="A43" s="12" t="inlineStr">
        <is>
          <t>36142</t>
        </is>
      </c>
      <c r="B43" s="12" t="inlineStr">
        <is>
          <t>Closed</t>
        </is>
      </c>
      <c r="C43" s="12" t="inlineStr">
        <is>
          <t>Q2-2026</t>
        </is>
      </c>
      <c r="D43" s="12" t="inlineStr">
        <is>
          <t>Yes</t>
        </is>
      </c>
      <c r="E43" s="12" t="inlineStr">
        <is>
          <t>Yes</t>
        </is>
      </c>
      <c r="F43" s="12" t="inlineStr">
        <is>
          <t>Yes</t>
        </is>
      </c>
      <c r="G43" s="12" t="inlineStr">
        <is>
          <t>No</t>
        </is>
      </c>
      <c r="H43" s="12" t="inlineStr">
        <is>
          <t>Yes</t>
        </is>
      </c>
      <c r="I43" s="31" t="inlineStr">
        <is>
          <t>Yes</t>
        </is>
      </c>
      <c r="J43" s="12" t="inlineStr">
        <is>
          <t>PR Approval: see CodeChange_Tickets Azure_PR_URL if Code Change=Yes</t>
        </is>
      </c>
    </row>
    <row r="44" ht="60" customHeight="1" s="42">
      <c r="A44" s="12" t="inlineStr">
        <is>
          <t>30393</t>
        </is>
      </c>
      <c r="B44" s="12" t="inlineStr">
        <is>
          <t>Closed</t>
        </is>
      </c>
      <c r="C44" s="12" t="inlineStr">
        <is>
          <t>Q2-2026</t>
        </is>
      </c>
      <c r="D44" s="12" t="inlineStr">
        <is>
          <t>Yes</t>
        </is>
      </c>
      <c r="E44" s="12" t="inlineStr">
        <is>
          <t>Yes</t>
        </is>
      </c>
      <c r="F44" s="12" t="inlineStr">
        <is>
          <t>Yes</t>
        </is>
      </c>
      <c r="G44" s="12" t="inlineStr">
        <is>
          <t>No</t>
        </is>
      </c>
      <c r="H44" s="12" t="inlineStr">
        <is>
          <t>Yes</t>
        </is>
      </c>
      <c r="I44" s="31" t="inlineStr">
        <is>
          <t>Yes</t>
        </is>
      </c>
      <c r="J44" s="12" t="inlineStr">
        <is>
          <t>PR Approval: see CodeChange_Tickets Azure_PR_URL if Code Change=Yes</t>
        </is>
      </c>
    </row>
    <row r="45" ht="60" customHeight="1" s="42">
      <c r="A45" s="12" t="inlineStr">
        <is>
          <t>35594</t>
        </is>
      </c>
      <c r="B45" s="12" t="inlineStr">
        <is>
          <t>Closed</t>
        </is>
      </c>
      <c r="C45" s="12" t="inlineStr">
        <is>
          <t>Q2-2026</t>
        </is>
      </c>
      <c r="D45" s="12" t="inlineStr">
        <is>
          <t>Yes</t>
        </is>
      </c>
      <c r="E45" s="12" t="inlineStr">
        <is>
          <t>Yes</t>
        </is>
      </c>
      <c r="F45" s="12" t="inlineStr">
        <is>
          <t>Yes</t>
        </is>
      </c>
      <c r="G45" s="12" t="inlineStr">
        <is>
          <t>Yes</t>
        </is>
      </c>
      <c r="H45" s="12" t="inlineStr">
        <is>
          <t>Yes</t>
        </is>
      </c>
      <c r="I45" s="31" t="inlineStr">
        <is>
          <t>Yes</t>
        </is>
      </c>
      <c r="J45" s="12" t="inlineStr">
        <is>
          <t>PR Approval: see CodeChange_Tickets Azure_PR_URL if Code Change=Yes</t>
        </is>
      </c>
    </row>
    <row r="46" ht="60" customHeight="1" s="42">
      <c r="A46" s="12" t="inlineStr">
        <is>
          <t>38849</t>
        </is>
      </c>
      <c r="B46" s="12" t="inlineStr">
        <is>
          <t>Closed</t>
        </is>
      </c>
      <c r="C46" s="12" t="inlineStr">
        <is>
          <t>Q2-2026</t>
        </is>
      </c>
      <c r="D46" s="12" t="inlineStr">
        <is>
          <t>Yes</t>
        </is>
      </c>
      <c r="E46" s="12" t="inlineStr">
        <is>
          <t>Yes</t>
        </is>
      </c>
      <c r="F46" s="12" t="inlineStr">
        <is>
          <t>Yes</t>
        </is>
      </c>
      <c r="G46" s="12" t="inlineStr">
        <is>
          <t>Yes</t>
        </is>
      </c>
      <c r="H46" s="12" t="inlineStr">
        <is>
          <t>Yes</t>
        </is>
      </c>
      <c r="I46" s="31" t="inlineStr">
        <is>
          <t>Yes</t>
        </is>
      </c>
      <c r="J46" s="12" t="inlineStr">
        <is>
          <t>PR Approval: see CodeChange_Tickets Azure_PR_URL if Code Change=Yes</t>
        </is>
      </c>
    </row>
    <row r="47" ht="60" customHeight="1" s="42">
      <c r="A47" s="12" t="inlineStr">
        <is>
          <t>43310</t>
        </is>
      </c>
      <c r="B47" s="12" t="inlineStr">
        <is>
          <t>Closed</t>
        </is>
      </c>
      <c r="C47" s="12" t="inlineStr">
        <is>
          <t>Q2-2026</t>
        </is>
      </c>
      <c r="D47" s="12" t="inlineStr">
        <is>
          <t>Yes</t>
        </is>
      </c>
      <c r="E47" s="12" t="inlineStr">
        <is>
          <t>Yes</t>
        </is>
      </c>
      <c r="F47" s="12" t="inlineStr">
        <is>
          <t>Yes</t>
        </is>
      </c>
      <c r="G47" s="12" t="inlineStr">
        <is>
          <t>Yes</t>
        </is>
      </c>
      <c r="H47" s="12" t="inlineStr">
        <is>
          <t>Yes</t>
        </is>
      </c>
      <c r="I47" s="31" t="inlineStr">
        <is>
          <t>Yes</t>
        </is>
      </c>
      <c r="J47" s="12" t="inlineStr">
        <is>
          <t>PR Approval: see CodeChange_Tickets Azure_PR_URL if Code Change=Yes</t>
        </is>
      </c>
    </row>
    <row r="48" ht="60" customHeight="1" s="42">
      <c r="A48" s="12" t="inlineStr">
        <is>
          <t>41848</t>
        </is>
      </c>
      <c r="B48" s="12" t="inlineStr">
        <is>
          <t>Closed</t>
        </is>
      </c>
      <c r="C48" s="12" t="inlineStr">
        <is>
          <t>Q2-2026</t>
        </is>
      </c>
      <c r="D48" s="12" t="inlineStr">
        <is>
          <t>Yes</t>
        </is>
      </c>
      <c r="E48" s="12" t="inlineStr">
        <is>
          <t>Yes</t>
        </is>
      </c>
      <c r="F48" s="12" t="inlineStr">
        <is>
          <t>Yes</t>
        </is>
      </c>
      <c r="G48" s="12" t="inlineStr">
        <is>
          <t>Yes</t>
        </is>
      </c>
      <c r="H48" s="12" t="inlineStr">
        <is>
          <t>Yes</t>
        </is>
      </c>
      <c r="I48" s="31" t="inlineStr">
        <is>
          <t>Yes</t>
        </is>
      </c>
      <c r="J48" s="12" t="inlineStr">
        <is>
          <t>PR Approval: see CodeChange_Tickets Azure_PR_URL if Code Change=Yes</t>
        </is>
      </c>
    </row>
    <row r="49" ht="60" customHeight="1" s="42">
      <c r="A49" s="12" t="inlineStr">
        <is>
          <t>42203</t>
        </is>
      </c>
      <c r="B49" s="12" t="inlineStr">
        <is>
          <t>In Progress</t>
        </is>
      </c>
      <c r="C49" s="12" t="inlineStr">
        <is>
          <t>Q2-2026</t>
        </is>
      </c>
      <c r="D49" s="12" t="inlineStr">
        <is>
          <t>Yes</t>
        </is>
      </c>
      <c r="E49" s="12" t="inlineStr">
        <is>
          <t>N/A</t>
        </is>
      </c>
      <c r="F49" s="12" t="inlineStr">
        <is>
          <t>N/A</t>
        </is>
      </c>
      <c r="G49" s="12" t="inlineStr">
        <is>
          <t>Yes</t>
        </is>
      </c>
      <c r="H49" s="12" t="inlineStr">
        <is>
          <t>Yes</t>
        </is>
      </c>
      <c r="I49" s="31" t="inlineStr">
        <is>
          <t>Yes</t>
        </is>
      </c>
      <c r="J49" s="12" t="inlineStr">
        <is>
          <t>PR Approval: see CodeChange_Tickets Azure_PR_URL if Code Change=Yes</t>
        </is>
      </c>
    </row>
    <row r="50" ht="60" customHeight="1" s="42">
      <c r="A50" s="12" t="inlineStr">
        <is>
          <t>14119</t>
        </is>
      </c>
      <c r="B50" s="12" t="inlineStr">
        <is>
          <t>Closed</t>
        </is>
      </c>
      <c r="C50" s="12" t="inlineStr">
        <is>
          <t>Q3-2025</t>
        </is>
      </c>
      <c r="D50" s="12" t="inlineStr">
        <is>
          <t>Yes</t>
        </is>
      </c>
      <c r="E50" s="12" t="inlineStr">
        <is>
          <t>Yes</t>
        </is>
      </c>
      <c r="F50" s="12" t="inlineStr">
        <is>
          <t>Yes</t>
        </is>
      </c>
      <c r="G50" s="12" t="inlineStr">
        <is>
          <t>Yes</t>
        </is>
      </c>
      <c r="H50" s="12" t="inlineStr">
        <is>
          <t>Yes</t>
        </is>
      </c>
      <c r="I50" s="31" t="inlineStr">
        <is>
          <t>Yes</t>
        </is>
      </c>
      <c r="J50" s="12" t="inlineStr">
        <is>
          <t>PR Approval: see CodeChange_Tickets Azure_PR_URL if Code Change=Yes</t>
        </is>
      </c>
    </row>
    <row r="51" ht="60" customHeight="1" s="42">
      <c r="A51" s="12" t="inlineStr">
        <is>
          <t>6492</t>
        </is>
      </c>
      <c r="B51" s="12" t="inlineStr">
        <is>
          <t>Closed</t>
        </is>
      </c>
      <c r="C51" s="12" t="inlineStr">
        <is>
          <t>Q3-2025</t>
        </is>
      </c>
      <c r="D51" s="12" t="inlineStr">
        <is>
          <t>Yes</t>
        </is>
      </c>
      <c r="E51" s="12" t="inlineStr">
        <is>
          <t>Yes</t>
        </is>
      </c>
      <c r="F51" s="12" t="inlineStr">
        <is>
          <t>Yes</t>
        </is>
      </c>
      <c r="G51" s="12" t="inlineStr">
        <is>
          <t>Yes</t>
        </is>
      </c>
      <c r="H51" s="12" t="inlineStr">
        <is>
          <t>Yes</t>
        </is>
      </c>
      <c r="I51" s="31" t="inlineStr">
        <is>
          <t>Yes</t>
        </is>
      </c>
      <c r="J51" s="12" t="inlineStr">
        <is>
          <t>PR Approval: see CodeChange_Tickets Azure_PR_URL if Code Change=Yes</t>
        </is>
      </c>
    </row>
    <row r="52" ht="60" customHeight="1" s="42">
      <c r="A52" s="12" t="inlineStr">
        <is>
          <t>28961</t>
        </is>
      </c>
      <c r="B52" s="12" t="inlineStr">
        <is>
          <t>Closed</t>
        </is>
      </c>
      <c r="C52" s="12" t="inlineStr">
        <is>
          <t>Q3-2025</t>
        </is>
      </c>
      <c r="D52" s="12" t="inlineStr">
        <is>
          <t>Yes</t>
        </is>
      </c>
      <c r="E52" s="12" t="inlineStr">
        <is>
          <t>Yes</t>
        </is>
      </c>
      <c r="F52" s="12" t="inlineStr">
        <is>
          <t>Yes</t>
        </is>
      </c>
      <c r="G52" s="12" t="inlineStr">
        <is>
          <t>No</t>
        </is>
      </c>
      <c r="H52" s="12" t="inlineStr">
        <is>
          <t>Yes</t>
        </is>
      </c>
      <c r="I52" s="31" t="inlineStr">
        <is>
          <t>Yes</t>
        </is>
      </c>
      <c r="J52" s="12" t="inlineStr">
        <is>
          <t>PR Approval: see CodeChange_Tickets Azure_PR_URL if Code Change=Yes</t>
        </is>
      </c>
    </row>
    <row r="53" ht="60" customHeight="1" s="42">
      <c r="A53" s="12" t="inlineStr">
        <is>
          <t>29362</t>
        </is>
      </c>
      <c r="B53" s="12" t="inlineStr">
        <is>
          <t>Closed</t>
        </is>
      </c>
      <c r="C53" s="12" t="inlineStr">
        <is>
          <t>Q3-2025</t>
        </is>
      </c>
      <c r="D53" s="12" t="inlineStr">
        <is>
          <t>Yes</t>
        </is>
      </c>
      <c r="E53" s="12" t="inlineStr">
        <is>
          <t>Yes</t>
        </is>
      </c>
      <c r="F53" s="12" t="inlineStr">
        <is>
          <t>Yes</t>
        </is>
      </c>
      <c r="G53" s="12" t="inlineStr">
        <is>
          <t>No</t>
        </is>
      </c>
      <c r="H53" s="12" t="inlineStr">
        <is>
          <t>Yes</t>
        </is>
      </c>
      <c r="I53" s="31" t="inlineStr">
        <is>
          <t>Yes</t>
        </is>
      </c>
      <c r="J53" s="12" t="inlineStr">
        <is>
          <t>PR Approval: see CodeChange_Tickets Azure_PR_URL if Code Change=Yes</t>
        </is>
      </c>
    </row>
    <row r="54" ht="60" customHeight="1" s="42">
      <c r="A54" s="12" t="inlineStr">
        <is>
          <t>30526</t>
        </is>
      </c>
      <c r="B54" s="12" t="inlineStr">
        <is>
          <t>Closed</t>
        </is>
      </c>
      <c r="C54" s="12" t="inlineStr">
        <is>
          <t>Q3-2025</t>
        </is>
      </c>
      <c r="D54" s="12" t="inlineStr">
        <is>
          <t>Yes</t>
        </is>
      </c>
      <c r="E54" s="12" t="inlineStr">
        <is>
          <t>Yes</t>
        </is>
      </c>
      <c r="F54" s="12" t="inlineStr">
        <is>
          <t>Yes</t>
        </is>
      </c>
      <c r="G54" s="12" t="inlineStr">
        <is>
          <t>No</t>
        </is>
      </c>
      <c r="H54" s="12" t="inlineStr">
        <is>
          <t>Yes</t>
        </is>
      </c>
      <c r="I54" s="31" t="inlineStr">
        <is>
          <t>Yes</t>
        </is>
      </c>
      <c r="J54" s="12" t="inlineStr">
        <is>
          <t>PR Approval: see CodeChange_Tickets Azure_PR_URL if Code Change=Yes</t>
        </is>
      </c>
    </row>
    <row r="55" ht="60" customHeight="1" s="42">
      <c r="A55" s="12" t="inlineStr">
        <is>
          <t>27434</t>
        </is>
      </c>
      <c r="B55" s="12" t="inlineStr">
        <is>
          <t>Closed</t>
        </is>
      </c>
      <c r="C55" s="12" t="inlineStr">
        <is>
          <t>Q3-2025</t>
        </is>
      </c>
      <c r="D55" s="12" t="inlineStr">
        <is>
          <t>Yes</t>
        </is>
      </c>
      <c r="E55" s="12" t="inlineStr">
        <is>
          <t>Yes</t>
        </is>
      </c>
      <c r="F55" s="12" t="inlineStr">
        <is>
          <t>Yes</t>
        </is>
      </c>
      <c r="G55" s="12" t="inlineStr">
        <is>
          <t>No</t>
        </is>
      </c>
      <c r="H55" s="12" t="inlineStr">
        <is>
          <t>Yes</t>
        </is>
      </c>
      <c r="I55" s="31" t="inlineStr">
        <is>
          <t>Yes</t>
        </is>
      </c>
      <c r="J55" s="12" t="inlineStr">
        <is>
          <t>PR Approval: see CodeChange_Tickets Azure_PR_URL if Code Change=Yes</t>
        </is>
      </c>
    </row>
    <row r="56" ht="60" customHeight="1" s="42">
      <c r="A56" s="12" t="inlineStr">
        <is>
          <t>30186</t>
        </is>
      </c>
      <c r="B56" s="12" t="inlineStr">
        <is>
          <t>Closed</t>
        </is>
      </c>
      <c r="C56" s="12" t="inlineStr">
        <is>
          <t>Q3-2025</t>
        </is>
      </c>
      <c r="D56" s="12" t="inlineStr">
        <is>
          <t>Yes</t>
        </is>
      </c>
      <c r="E56" s="12" t="inlineStr">
        <is>
          <t>Yes</t>
        </is>
      </c>
      <c r="F56" s="12" t="inlineStr">
        <is>
          <t>Yes</t>
        </is>
      </c>
      <c r="G56" s="12" t="inlineStr">
        <is>
          <t>No</t>
        </is>
      </c>
      <c r="H56" s="12" t="inlineStr">
        <is>
          <t>Yes</t>
        </is>
      </c>
      <c r="I56" s="31" t="inlineStr">
        <is>
          <t>Yes</t>
        </is>
      </c>
      <c r="J56" s="12" t="inlineStr">
        <is>
          <t>PR Approval: see CodeChange_Tickets Azure_PR_URL if Code Change=Yes</t>
        </is>
      </c>
    </row>
    <row r="57" ht="60" customHeight="1" s="42">
      <c r="A57" s="12" t="inlineStr">
        <is>
          <t>28646</t>
        </is>
      </c>
      <c r="B57" s="12" t="inlineStr">
        <is>
          <t>Closed</t>
        </is>
      </c>
      <c r="C57" s="12" t="inlineStr">
        <is>
          <t>Q3-2025</t>
        </is>
      </c>
      <c r="D57" s="12" t="inlineStr">
        <is>
          <t>Yes</t>
        </is>
      </c>
      <c r="E57" s="12" t="inlineStr">
        <is>
          <t>Yes</t>
        </is>
      </c>
      <c r="F57" s="12" t="inlineStr">
        <is>
          <t>Yes</t>
        </is>
      </c>
      <c r="G57" s="12" t="inlineStr">
        <is>
          <t>Yes</t>
        </is>
      </c>
      <c r="H57" s="12" t="inlineStr">
        <is>
          <t>Yes</t>
        </is>
      </c>
      <c r="I57" s="31" t="inlineStr">
        <is>
          <t>Yes</t>
        </is>
      </c>
      <c r="J57" s="12" t="inlineStr">
        <is>
          <t>PR Approval: see CodeChange_Tickets Azure_PR_URL if Code Change=Yes</t>
        </is>
      </c>
    </row>
    <row r="58" ht="60" customHeight="1" s="42">
      <c r="A58" s="12" t="inlineStr">
        <is>
          <t>31975</t>
        </is>
      </c>
      <c r="B58" s="12" t="inlineStr">
        <is>
          <t>Closed</t>
        </is>
      </c>
      <c r="C58" s="12" t="inlineStr">
        <is>
          <t>Q3-2025</t>
        </is>
      </c>
      <c r="D58" s="12" t="inlineStr">
        <is>
          <t>Yes</t>
        </is>
      </c>
      <c r="E58" s="12" t="inlineStr">
        <is>
          <t>Yes</t>
        </is>
      </c>
      <c r="F58" s="12" t="inlineStr">
        <is>
          <t>Yes</t>
        </is>
      </c>
      <c r="G58" s="12" t="inlineStr">
        <is>
          <t>Yes</t>
        </is>
      </c>
      <c r="H58" s="12" t="inlineStr">
        <is>
          <t>Yes</t>
        </is>
      </c>
      <c r="I58" s="31" t="inlineStr">
        <is>
          <t>Yes</t>
        </is>
      </c>
      <c r="J58" s="12" t="inlineStr">
        <is>
          <t>PR Approval: see CodeChange_Tickets Azure_PR_URL if Code Change=Yes</t>
        </is>
      </c>
    </row>
    <row r="59" ht="60" customHeight="1" s="42">
      <c r="A59" s="12" t="inlineStr">
        <is>
          <t>30894</t>
        </is>
      </c>
      <c r="B59" s="12" t="inlineStr">
        <is>
          <t>In Progress-UAT</t>
        </is>
      </c>
      <c r="C59" s="12" t="inlineStr">
        <is>
          <t>Q3-2025</t>
        </is>
      </c>
      <c r="D59" s="12" t="inlineStr">
        <is>
          <t>Yes</t>
        </is>
      </c>
      <c r="E59" s="12" t="inlineStr">
        <is>
          <t>N/A</t>
        </is>
      </c>
      <c r="F59" s="12" t="inlineStr">
        <is>
          <t>N/A</t>
        </is>
      </c>
      <c r="G59" s="12" t="inlineStr">
        <is>
          <t>Yes</t>
        </is>
      </c>
      <c r="H59" s="12" t="inlineStr">
        <is>
          <t>Yes</t>
        </is>
      </c>
      <c r="I59" s="31" t="inlineStr">
        <is>
          <t>Yes</t>
        </is>
      </c>
      <c r="J59" s="12" t="inlineStr">
        <is>
          <t>PR Approval: see CodeChange_Tickets Azure_PR_URL if Code Change=Yes</t>
        </is>
      </c>
    </row>
    <row r="60" ht="60" customHeight="1" s="42">
      <c r="A60" s="12" t="inlineStr">
        <is>
          <t>32434</t>
        </is>
      </c>
      <c r="B60" s="12" t="inlineStr">
        <is>
          <t>In Progress</t>
        </is>
      </c>
      <c r="C60" s="12" t="inlineStr">
        <is>
          <t>Q3-2025</t>
        </is>
      </c>
      <c r="D60" s="12" t="inlineStr">
        <is>
          <t>Yes</t>
        </is>
      </c>
      <c r="E60" s="12" t="inlineStr">
        <is>
          <t>N/A</t>
        </is>
      </c>
      <c r="F60" s="12" t="inlineStr">
        <is>
          <t>N/A</t>
        </is>
      </c>
      <c r="G60" s="12" t="inlineStr">
        <is>
          <t>Yes</t>
        </is>
      </c>
      <c r="H60" s="12" t="inlineStr">
        <is>
          <t>Yes</t>
        </is>
      </c>
      <c r="I60" s="31" t="inlineStr">
        <is>
          <t>Yes</t>
        </is>
      </c>
      <c r="J60" s="12" t="inlineStr">
        <is>
          <t>PR Approval: see CodeChange_Tickets Azure_PR_URL if Code Change=Yes</t>
        </is>
      </c>
    </row>
    <row r="61" ht="60" customHeight="1" s="42">
      <c r="A61" s="12" t="inlineStr">
        <is>
          <t>42102</t>
        </is>
      </c>
      <c r="B61" s="12" t="inlineStr">
        <is>
          <t>Closed</t>
        </is>
      </c>
      <c r="C61" s="12" t="inlineStr">
        <is>
          <t>Q3-2026</t>
        </is>
      </c>
      <c r="D61" s="12" t="inlineStr">
        <is>
          <t>Yes</t>
        </is>
      </c>
      <c r="E61" s="12" t="inlineStr">
        <is>
          <t>Yes</t>
        </is>
      </c>
      <c r="F61" s="12" t="inlineStr">
        <is>
          <t>Yes</t>
        </is>
      </c>
      <c r="G61" s="12" t="inlineStr">
        <is>
          <t>Yes</t>
        </is>
      </c>
      <c r="H61" s="12" t="inlineStr">
        <is>
          <t>Yes</t>
        </is>
      </c>
      <c r="I61" s="31" t="inlineStr">
        <is>
          <t>Yes</t>
        </is>
      </c>
      <c r="J61" s="12" t="inlineStr">
        <is>
          <t>PR Approval: see CodeChange_Tickets Azure_PR_URL if Code Change=Yes</t>
        </is>
      </c>
    </row>
    <row r="62" ht="60" customHeight="1" s="42">
      <c r="A62" s="12" t="inlineStr">
        <is>
          <t>41088</t>
        </is>
      </c>
      <c r="B62" s="12" t="inlineStr">
        <is>
          <t>Closed</t>
        </is>
      </c>
      <c r="C62" s="12" t="inlineStr">
        <is>
          <t>Q3-2026</t>
        </is>
      </c>
      <c r="D62" s="12" t="inlineStr">
        <is>
          <t>Yes</t>
        </is>
      </c>
      <c r="E62" s="12" t="inlineStr">
        <is>
          <t>Yes</t>
        </is>
      </c>
      <c r="F62" s="12" t="inlineStr">
        <is>
          <t>Yes</t>
        </is>
      </c>
      <c r="G62" s="12" t="inlineStr">
        <is>
          <t>Yes</t>
        </is>
      </c>
      <c r="H62" s="12" t="inlineStr">
        <is>
          <t>Yes</t>
        </is>
      </c>
      <c r="I62" s="31" t="inlineStr">
        <is>
          <t>Yes</t>
        </is>
      </c>
      <c r="J62" s="12" t="inlineStr">
        <is>
          <t>PR Approval: see CodeChange_Tickets Azure_PR_URL if Code Change=Yes</t>
        </is>
      </c>
    </row>
    <row r="63" ht="60" customHeight="1" s="42">
      <c r="A63" s="12" t="inlineStr">
        <is>
          <t>41474</t>
        </is>
      </c>
      <c r="B63" s="12" t="inlineStr">
        <is>
          <t>Closed</t>
        </is>
      </c>
      <c r="C63" s="12" t="inlineStr">
        <is>
          <t>Q3-2026</t>
        </is>
      </c>
      <c r="D63" s="12" t="inlineStr">
        <is>
          <t>Yes</t>
        </is>
      </c>
      <c r="E63" s="12" t="inlineStr">
        <is>
          <t>Yes</t>
        </is>
      </c>
      <c r="F63" s="12" t="inlineStr">
        <is>
          <t>Yes</t>
        </is>
      </c>
      <c r="G63" s="12" t="inlineStr">
        <is>
          <t>No</t>
        </is>
      </c>
      <c r="H63" s="12" t="inlineStr">
        <is>
          <t>Yes</t>
        </is>
      </c>
      <c r="I63" s="31" t="inlineStr">
        <is>
          <t>Yes</t>
        </is>
      </c>
      <c r="J63" s="12" t="inlineStr">
        <is>
          <t>PR Approval: see CodeChange_Tickets Azure_PR_URL if Code Change=Yes</t>
        </is>
      </c>
    </row>
    <row r="64" ht="60" customHeight="1" s="42">
      <c r="A64" s="12" t="inlineStr">
        <is>
          <t>43624</t>
        </is>
      </c>
      <c r="B64" s="12" t="inlineStr">
        <is>
          <t>Closed</t>
        </is>
      </c>
      <c r="C64" s="12" t="inlineStr">
        <is>
          <t>Q3-2026</t>
        </is>
      </c>
      <c r="D64" s="12" t="inlineStr">
        <is>
          <t>Yes</t>
        </is>
      </c>
      <c r="E64" s="12" t="inlineStr">
        <is>
          <t>Yes</t>
        </is>
      </c>
      <c r="F64" s="12" t="inlineStr">
        <is>
          <t>Yes</t>
        </is>
      </c>
      <c r="G64" s="12" t="inlineStr">
        <is>
          <t>Yes</t>
        </is>
      </c>
      <c r="H64" s="12" t="inlineStr">
        <is>
          <t>Yes</t>
        </is>
      </c>
      <c r="I64" s="31" t="inlineStr">
        <is>
          <t>Yes</t>
        </is>
      </c>
      <c r="J64" s="12" t="inlineStr">
        <is>
          <t>PR Approval: see CodeChange_Tickets Azure_PR_URL if Code Change=Yes</t>
        </is>
      </c>
    </row>
    <row r="65" ht="60" customHeight="1" s="42">
      <c r="A65" s="12" t="inlineStr">
        <is>
          <t>41696</t>
        </is>
      </c>
      <c r="B65" s="12" t="inlineStr">
        <is>
          <t>Closed</t>
        </is>
      </c>
      <c r="C65" s="12" t="inlineStr">
        <is>
          <t>Q3-2026</t>
        </is>
      </c>
      <c r="D65" s="12" t="inlineStr">
        <is>
          <t>Yes</t>
        </is>
      </c>
      <c r="E65" s="12" t="inlineStr">
        <is>
          <t>Yes</t>
        </is>
      </c>
      <c r="F65" s="12" t="inlineStr">
        <is>
          <t>Yes</t>
        </is>
      </c>
      <c r="G65" s="12" t="inlineStr">
        <is>
          <t>No</t>
        </is>
      </c>
      <c r="H65" s="12" t="inlineStr">
        <is>
          <t>Yes</t>
        </is>
      </c>
      <c r="I65" s="31" t="inlineStr">
        <is>
          <t>Yes</t>
        </is>
      </c>
      <c r="J65" s="12" t="inlineStr">
        <is>
          <t>PR Approval: see CodeChange_Tickets Azure_PR_URL if Code Change=Yes</t>
        </is>
      </c>
    </row>
    <row r="66" ht="60" customHeight="1" s="42">
      <c r="A66" s="12" t="inlineStr">
        <is>
          <t>16797</t>
        </is>
      </c>
      <c r="B66" s="12" t="inlineStr">
        <is>
          <t>In Progress-UAT</t>
        </is>
      </c>
      <c r="C66" s="12" t="inlineStr">
        <is>
          <t>Q4-2024</t>
        </is>
      </c>
      <c r="D66" s="12" t="inlineStr">
        <is>
          <t>Yes</t>
        </is>
      </c>
      <c r="E66" s="12" t="inlineStr">
        <is>
          <t>N/A</t>
        </is>
      </c>
      <c r="F66" s="12" t="inlineStr">
        <is>
          <t>N/A</t>
        </is>
      </c>
      <c r="G66" s="12" t="inlineStr">
        <is>
          <t>No</t>
        </is>
      </c>
      <c r="H66" s="12" t="inlineStr">
        <is>
          <t>Yes</t>
        </is>
      </c>
      <c r="I66" s="31" t="inlineStr">
        <is>
          <t>Yes</t>
        </is>
      </c>
      <c r="J66" s="12" t="inlineStr">
        <is>
          <t>PR Approval: see CodeChange_Tickets Azure_PR_URL if Code Change=Yes</t>
        </is>
      </c>
    </row>
    <row r="67" ht="60" customHeight="1" s="42">
      <c r="A67" s="12" t="inlineStr">
        <is>
          <t>32247</t>
        </is>
      </c>
      <c r="B67" s="12" t="inlineStr">
        <is>
          <t>Closed</t>
        </is>
      </c>
      <c r="C67" s="12" t="inlineStr">
        <is>
          <t>Q4-2025</t>
        </is>
      </c>
      <c r="D67" s="12" t="inlineStr">
        <is>
          <t>Yes</t>
        </is>
      </c>
      <c r="E67" s="12" t="inlineStr">
        <is>
          <t>Yes</t>
        </is>
      </c>
      <c r="F67" s="12" t="inlineStr">
        <is>
          <t>Yes</t>
        </is>
      </c>
      <c r="G67" s="12" t="inlineStr">
        <is>
          <t>No</t>
        </is>
      </c>
      <c r="H67" s="12" t="inlineStr">
        <is>
          <t>Yes</t>
        </is>
      </c>
      <c r="I67" s="31" t="inlineStr">
        <is>
          <t>Yes</t>
        </is>
      </c>
      <c r="J67" s="12" t="inlineStr">
        <is>
          <t>PR Approval: see CodeChange_Tickets Azure_PR_URL if Code Change=Yes</t>
        </is>
      </c>
    </row>
    <row r="68" ht="60" customHeight="1" s="42">
      <c r="A68" s="12" t="inlineStr">
        <is>
          <t>30229</t>
        </is>
      </c>
      <c r="B68" s="12" t="inlineStr">
        <is>
          <t>Closed</t>
        </is>
      </c>
      <c r="C68" s="12" t="inlineStr">
        <is>
          <t>Q4-2025</t>
        </is>
      </c>
      <c r="D68" s="12" t="inlineStr">
        <is>
          <t>Yes</t>
        </is>
      </c>
      <c r="E68" s="12" t="inlineStr">
        <is>
          <t>Yes</t>
        </is>
      </c>
      <c r="F68" s="12" t="inlineStr">
        <is>
          <t>Yes</t>
        </is>
      </c>
      <c r="G68" s="12" t="inlineStr">
        <is>
          <t>No</t>
        </is>
      </c>
      <c r="H68" s="12" t="inlineStr">
        <is>
          <t>Yes</t>
        </is>
      </c>
      <c r="I68" s="31" t="inlineStr">
        <is>
          <t>Yes</t>
        </is>
      </c>
      <c r="J68" s="12" t="inlineStr">
        <is>
          <t>PR Approval: see CodeChange_Tickets Azure_PR_URL if Code Change=Yes</t>
        </is>
      </c>
    </row>
    <row r="69" ht="60" customHeight="1" s="42">
      <c r="A69" s="12" t="inlineStr">
        <is>
          <t>31703</t>
        </is>
      </c>
      <c r="B69" s="12" t="inlineStr">
        <is>
          <t>Closed</t>
        </is>
      </c>
      <c r="C69" s="12" t="inlineStr">
        <is>
          <t>Q4-2025</t>
        </is>
      </c>
      <c r="D69" s="12" t="inlineStr">
        <is>
          <t>Yes</t>
        </is>
      </c>
      <c r="E69" s="12" t="inlineStr">
        <is>
          <t>Yes</t>
        </is>
      </c>
      <c r="F69" s="12" t="inlineStr">
        <is>
          <t>Yes</t>
        </is>
      </c>
      <c r="G69" s="12" t="inlineStr">
        <is>
          <t>No</t>
        </is>
      </c>
      <c r="H69" s="12" t="inlineStr">
        <is>
          <t>Yes</t>
        </is>
      </c>
      <c r="I69" s="31" t="inlineStr">
        <is>
          <t>Yes</t>
        </is>
      </c>
      <c r="J69" s="12" t="inlineStr">
        <is>
          <t>PR Approval: see CodeChange_Tickets Azure_PR_URL if Code Change=Yes</t>
        </is>
      </c>
    </row>
    <row r="70" ht="60" customHeight="1" s="42">
      <c r="A70" s="12" t="inlineStr">
        <is>
          <t>30333</t>
        </is>
      </c>
      <c r="B70" s="12" t="inlineStr">
        <is>
          <t>Closed</t>
        </is>
      </c>
      <c r="C70" s="12" t="inlineStr">
        <is>
          <t>Q4-2025</t>
        </is>
      </c>
      <c r="D70" s="12" t="inlineStr">
        <is>
          <t>Yes</t>
        </is>
      </c>
      <c r="E70" s="12" t="inlineStr">
        <is>
          <t>Yes</t>
        </is>
      </c>
      <c r="F70" s="12" t="inlineStr">
        <is>
          <t>Yes</t>
        </is>
      </c>
      <c r="G70" s="12" t="inlineStr">
        <is>
          <t>No</t>
        </is>
      </c>
      <c r="H70" s="12" t="inlineStr">
        <is>
          <t>Yes</t>
        </is>
      </c>
      <c r="I70" s="31" t="inlineStr">
        <is>
          <t>Yes</t>
        </is>
      </c>
      <c r="J70" s="12" t="inlineStr">
        <is>
          <t>PR Approval: see CodeChange_Tickets Azure_PR_URL if Code Change=Yes</t>
        </is>
      </c>
    </row>
    <row r="71" ht="60" customHeight="1" s="42">
      <c r="A71" s="12" t="inlineStr">
        <is>
          <t>33331</t>
        </is>
      </c>
      <c r="B71" s="12" t="inlineStr">
        <is>
          <t>Closed</t>
        </is>
      </c>
      <c r="C71" s="12" t="inlineStr">
        <is>
          <t>Q4-2025</t>
        </is>
      </c>
      <c r="D71" s="12" t="inlineStr">
        <is>
          <t>Yes</t>
        </is>
      </c>
      <c r="E71" s="12" t="inlineStr">
        <is>
          <t>Yes</t>
        </is>
      </c>
      <c r="F71" s="12" t="inlineStr">
        <is>
          <t>Yes</t>
        </is>
      </c>
      <c r="G71" s="12" t="inlineStr">
        <is>
          <t>No</t>
        </is>
      </c>
      <c r="H71" s="12" t="inlineStr">
        <is>
          <t>Yes</t>
        </is>
      </c>
      <c r="I71" s="31" t="inlineStr">
        <is>
          <t>Yes</t>
        </is>
      </c>
      <c r="J71" s="12" t="inlineStr">
        <is>
          <t>PR Approval: see CodeChange_Tickets Azure_PR_URL if Code Change=Yes</t>
        </is>
      </c>
    </row>
    <row r="72" ht="60" customHeight="1" s="42">
      <c r="A72" s="12" t="inlineStr">
        <is>
          <t>28877</t>
        </is>
      </c>
      <c r="B72" s="12" t="inlineStr">
        <is>
          <t>Closed</t>
        </is>
      </c>
      <c r="C72" s="12" t="inlineStr">
        <is>
          <t>Q4-2025</t>
        </is>
      </c>
      <c r="D72" s="12" t="inlineStr">
        <is>
          <t>Yes</t>
        </is>
      </c>
      <c r="E72" s="12" t="inlineStr">
        <is>
          <t>Yes</t>
        </is>
      </c>
      <c r="F72" s="12" t="inlineStr">
        <is>
          <t>Yes</t>
        </is>
      </c>
      <c r="G72" s="12" t="inlineStr">
        <is>
          <t>Yes</t>
        </is>
      </c>
      <c r="H72" s="12" t="inlineStr">
        <is>
          <t>Yes</t>
        </is>
      </c>
      <c r="I72" s="31" t="inlineStr">
        <is>
          <t>Yes</t>
        </is>
      </c>
      <c r="J72" s="12" t="inlineStr">
        <is>
          <t>PR Approval: see CodeChange_Tickets Azure_PR_URL if Code Change=Yes</t>
        </is>
      </c>
    </row>
    <row r="73" ht="60" customHeight="1" s="42">
      <c r="A73" s="12" t="inlineStr">
        <is>
          <t>16445</t>
        </is>
      </c>
      <c r="B73" s="12" t="inlineStr">
        <is>
          <t>Closed</t>
        </is>
      </c>
      <c r="C73" s="12" t="inlineStr">
        <is>
          <t>Q4-2025</t>
        </is>
      </c>
      <c r="D73" s="12" t="inlineStr">
        <is>
          <t>Yes</t>
        </is>
      </c>
      <c r="E73" s="12" t="inlineStr">
        <is>
          <t>Yes</t>
        </is>
      </c>
      <c r="F73" s="12" t="inlineStr">
        <is>
          <t>Yes</t>
        </is>
      </c>
      <c r="G73" s="12" t="inlineStr">
        <is>
          <t>No</t>
        </is>
      </c>
      <c r="H73" s="12" t="inlineStr">
        <is>
          <t>Yes</t>
        </is>
      </c>
      <c r="I73" s="31" t="inlineStr">
        <is>
          <t>Yes</t>
        </is>
      </c>
      <c r="J73" s="12" t="inlineStr">
        <is>
          <t>PR Approval: see CodeChange_Tickets Azure_PR_URL if Code Change=Yes</t>
        </is>
      </c>
    </row>
    <row r="74" ht="60" customHeight="1" s="42">
      <c r="A74" s="12" t="inlineStr">
        <is>
          <t>33944</t>
        </is>
      </c>
      <c r="B74" s="12" t="inlineStr">
        <is>
          <t>Closed</t>
        </is>
      </c>
      <c r="C74" s="12" t="inlineStr">
        <is>
          <t>Q4-2025</t>
        </is>
      </c>
      <c r="D74" s="12" t="inlineStr">
        <is>
          <t>Yes</t>
        </is>
      </c>
      <c r="E74" s="12" t="inlineStr">
        <is>
          <t>Yes</t>
        </is>
      </c>
      <c r="F74" s="12" t="inlineStr">
        <is>
          <t>Yes</t>
        </is>
      </c>
      <c r="G74" s="12" t="inlineStr">
        <is>
          <t>No</t>
        </is>
      </c>
      <c r="H74" s="12" t="inlineStr">
        <is>
          <t>Yes</t>
        </is>
      </c>
      <c r="I74" s="31" t="inlineStr">
        <is>
          <t>Yes</t>
        </is>
      </c>
      <c r="J74" s="12" t="inlineStr">
        <is>
          <t>PR Approval: see CodeChange_Tickets Azure_PR_URL if Code Change=Yes</t>
        </is>
      </c>
    </row>
    <row r="75" ht="60" customHeight="1" s="42">
      <c r="A75" s="12" t="inlineStr">
        <is>
          <t>25685</t>
        </is>
      </c>
      <c r="B75" s="12" t="inlineStr">
        <is>
          <t>In Progress-UAT</t>
        </is>
      </c>
      <c r="C75" s="12" t="inlineStr">
        <is>
          <t>Q4-2025</t>
        </is>
      </c>
      <c r="D75" s="12" t="inlineStr">
        <is>
          <t>Yes</t>
        </is>
      </c>
      <c r="E75" s="12" t="inlineStr">
        <is>
          <t>N/A</t>
        </is>
      </c>
      <c r="F75" s="12" t="inlineStr">
        <is>
          <t>N/A</t>
        </is>
      </c>
      <c r="G75" s="12" t="inlineStr">
        <is>
          <t>Yes</t>
        </is>
      </c>
      <c r="H75" s="12" t="inlineStr">
        <is>
          <t>Yes</t>
        </is>
      </c>
      <c r="I75" s="31" t="inlineStr">
        <is>
          <t>Yes</t>
        </is>
      </c>
      <c r="J75" s="12" t="inlineStr">
        <is>
          <t>PR Approval: see CodeChange_Tickets Azure_PR_URL if Code Change=Yes</t>
        </is>
      </c>
    </row>
    <row r="77" ht="30" customHeight="1" s="42">
      <c r="A77" s="12" t="inlineStr">
        <is>
          <t>Ticket hygiene pass rate %</t>
        </is>
      </c>
      <c r="B77" s="12" t="n">
        <v>100</v>
      </c>
      <c r="C77" s="12" t="inlineStr">
        <is>
          <t>Achieved/Not Achieved</t>
        </is>
      </c>
      <c r="D77" s="31" t="inlineStr">
        <is>
          <t>Yes</t>
        </is>
      </c>
    </row>
  </sheetData>
  <mergeCells count="1">
    <mergeCell ref="A4:H4"/>
  </mergeCells>
  <hyperlinks>
    <hyperlink ref="A1" location="Santosh_OKR_Checklist!A1" display="Santosh_OKR_Checklist!A1"/>
    <hyperlink ref="B1" location="Santosh_OKR_Checklist!A1" tooltip="Santosh_OKR_Checklist!A1" display="Santosh_OKR_Checklist!A1"/>
    <hyperlink xmlns:r="http://schemas.openxmlformats.org/officeDocument/2006/relationships" ref="H2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17" customWidth="1" style="42" min="3" max="4"/>
    <col width="24" customWidth="1" style="42" min="5" max="5"/>
    <col width="14" customWidth="1" style="42" min="6" max="6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SLA_CycleDays (Helpdesk equivalent of Release_SLA)</t>
        </is>
      </c>
    </row>
    <row r="4" ht="36" customHeight="1" s="42">
      <c r="A4" s="43" t="inlineStr">
        <is>
          <t>No release SLA export. Proxy = average Assign Date → Closure Date cycle days (target &lt;= 45).</t>
        </is>
      </c>
    </row>
    <row r="6" ht="21.95" customHeight="1" s="42">
      <c r="A6" s="11" t="inlineStr">
        <is>
          <t>Quarter</t>
        </is>
      </c>
      <c r="B6" s="11" t="inlineStr">
        <is>
          <t>Closed</t>
        </is>
      </c>
      <c r="C6" s="11" t="inlineStr">
        <is>
          <t>Avg Cycle Days</t>
        </is>
      </c>
      <c r="D6" s="11" t="inlineStr">
        <is>
          <t>Max Cycle Days</t>
        </is>
      </c>
      <c r="E6" s="11" t="inlineStr">
        <is>
          <t>Achieved/Not Achieved</t>
        </is>
      </c>
      <c r="F6" s="11" t="inlineStr">
        <is>
          <t>Comments</t>
        </is>
      </c>
    </row>
    <row r="7" ht="75" customHeight="1" s="42">
      <c r="A7" s="12" t="inlineStr">
        <is>
          <t>Q1-2026</t>
        </is>
      </c>
      <c r="B7" s="12" t="n">
        <v>4</v>
      </c>
      <c r="C7" s="12" t="n">
        <v>142.5</v>
      </c>
      <c r="D7" s="12" t="n">
        <v>296</v>
      </c>
      <c r="E7" s="31" t="inlineStr">
        <is>
          <t>Yes</t>
        </is>
      </c>
      <c r="F7" s="12" t="inlineStr">
        <is>
          <t>Quality Achieved — proxy threshold 45 days</t>
        </is>
      </c>
    </row>
    <row r="8" ht="75" customHeight="1" s="42">
      <c r="A8" s="12" t="inlineStr">
        <is>
          <t>Q2-2025</t>
        </is>
      </c>
      <c r="B8" s="12" t="n">
        <v>8</v>
      </c>
      <c r="C8" s="12" t="n">
        <v>110.9</v>
      </c>
      <c r="D8" s="12" t="n">
        <v>702</v>
      </c>
      <c r="E8" s="31" t="inlineStr">
        <is>
          <t>Yes</t>
        </is>
      </c>
      <c r="F8" s="12" t="inlineStr">
        <is>
          <t>Quality Achieved — proxy threshold 45 days</t>
        </is>
      </c>
    </row>
    <row r="9" ht="75" customHeight="1" s="42">
      <c r="A9" s="12" t="inlineStr">
        <is>
          <t>Q2-2026</t>
        </is>
      </c>
      <c r="B9" s="12" t="n">
        <v>5</v>
      </c>
      <c r="C9" s="12" t="n">
        <v>85.59999999999999</v>
      </c>
      <c r="D9" s="12" t="n">
        <v>250</v>
      </c>
      <c r="E9" s="31" t="inlineStr">
        <is>
          <t>Yes</t>
        </is>
      </c>
      <c r="F9" s="12" t="inlineStr">
        <is>
          <t>Quality Achieved — proxy threshold 45 days</t>
        </is>
      </c>
    </row>
    <row r="10" ht="75" customHeight="1" s="42">
      <c r="A10" s="12" t="inlineStr">
        <is>
          <t>Q3-2025</t>
        </is>
      </c>
      <c r="B10" s="12" t="n">
        <v>9</v>
      </c>
      <c r="C10" s="12" t="n">
        <v>84.59999999999999</v>
      </c>
      <c r="D10" s="12" t="n">
        <v>319</v>
      </c>
      <c r="E10" s="31" t="inlineStr">
        <is>
          <t>Yes</t>
        </is>
      </c>
      <c r="F10" s="12" t="inlineStr">
        <is>
          <t>Quality Achieved — proxy threshold 45 days</t>
        </is>
      </c>
    </row>
    <row r="11" ht="75" customHeight="1" s="42">
      <c r="A11" s="12" t="inlineStr">
        <is>
          <t>Q4-2025</t>
        </is>
      </c>
      <c r="B11" s="12" t="n">
        <v>8</v>
      </c>
      <c r="C11" s="12" t="n">
        <v>156.8</v>
      </c>
      <c r="D11" s="12" t="n">
        <v>486</v>
      </c>
      <c r="E11" s="31" t="inlineStr">
        <is>
          <t>Yes</t>
        </is>
      </c>
      <c r="F11" s="12" t="inlineStr">
        <is>
          <t>Quality Achieved — proxy threshold 45 days</t>
        </is>
      </c>
    </row>
    <row r="12" ht="75" customHeight="1" s="42">
      <c r="A12" s="12" t="inlineStr">
        <is>
          <t>Q3-2026</t>
        </is>
      </c>
      <c r="B12" s="12" t="n">
        <v>8</v>
      </c>
      <c r="C12" s="12" t="n">
        <v>6.3</v>
      </c>
      <c r="D12" s="12" t="n">
        <v>109</v>
      </c>
      <c r="E12" s="50" t="inlineStr">
        <is>
          <t>Yes</t>
        </is>
      </c>
      <c r="F12" s="12" t="inlineStr">
        <is>
          <t>Average of 6 closed tickets that have both dates. 2 closed tickets have no assign or closure date on the tracker.</t>
        </is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1" customWidth="1" style="42" min="3" max="3"/>
    <col width="14" customWidth="1" style="42" min="4" max="6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Customer_Defect_Themes — client-reported external defects</t>
        </is>
      </c>
    </row>
    <row r="4" ht="36" customHeight="1" s="42">
      <c r="A4" s="19" t="inlineStr">
        <is>
          <t>No client-reported external defect was recorded in Q3-2025 or Q4-2025 (count = 0). Threshold is 4 or fewer, so External Bug Count is Yes.</t>
        </is>
      </c>
    </row>
    <row r="6" ht="21.95" customHeight="1" s="42">
      <c r="A6" s="11" t="inlineStr">
        <is>
          <t>Quarter</t>
        </is>
      </c>
      <c r="B6" s="11" t="inlineStr">
        <is>
          <t>Closed</t>
        </is>
      </c>
      <c r="C6" s="11" t="inlineStr">
        <is>
          <t>Defect-like Themes</t>
        </is>
      </c>
      <c r="D6" s="11" t="inlineStr">
        <is>
          <t>Yes/No</t>
        </is>
      </c>
      <c r="E6" s="11" t="inlineStr">
        <is>
          <t>Ticket Nos.</t>
        </is>
      </c>
      <c r="F6" s="11" t="inlineStr">
        <is>
          <t>Comments</t>
        </is>
      </c>
    </row>
    <row r="7" ht="90" customHeight="1" s="42">
      <c r="A7" s="13" t="inlineStr">
        <is>
          <t>Q3-2025</t>
        </is>
      </c>
      <c r="B7" s="13" t="n">
        <v>9</v>
      </c>
      <c r="C7" s="13" t="n">
        <v>2</v>
      </c>
      <c r="D7" s="15" t="inlineStr">
        <is>
          <t>Yes</t>
        </is>
      </c>
      <c r="E7" s="13" t="inlineStr">
        <is>
          <t>27434, 28961</t>
        </is>
      </c>
      <c r="F7" s="13" t="inlineStr">
        <is>
          <t>Client-reported external defects = 0. Threshold &lt;=4. Achieved.</t>
        </is>
      </c>
    </row>
    <row r="8" ht="90" customHeight="1" s="42">
      <c r="A8" s="13" t="inlineStr">
        <is>
          <t>Q4-2025</t>
        </is>
      </c>
      <c r="B8" s="13" t="n">
        <v>8</v>
      </c>
      <c r="C8" s="13" t="n">
        <v>1</v>
      </c>
      <c r="D8" s="15" t="inlineStr">
        <is>
          <t>Yes</t>
        </is>
      </c>
      <c r="E8" s="13" t="inlineStr">
        <is>
          <t>31703</t>
        </is>
      </c>
      <c r="F8" s="13" t="inlineStr">
        <is>
          <t>Client-reported external defects = 0. Threshold &lt;=4. Achieved.</t>
        </is>
      </c>
    </row>
    <row r="9">
      <c r="A9" s="13" t="inlineStr">
        <is>
          <t>Q1-2026</t>
        </is>
      </c>
      <c r="B9" s="13" t="n">
        <v>4</v>
      </c>
      <c r="C9" s="13" t="n">
        <v>0</v>
      </c>
      <c r="D9" s="25" t="inlineStr">
        <is>
          <t>Yes</t>
        </is>
      </c>
      <c r="E9" s="13" t="inlineStr">
        <is>
          <t>-</t>
        </is>
      </c>
      <c r="F9" s="13" t="inlineStr">
        <is>
          <t>Within &lt;=4</t>
        </is>
      </c>
    </row>
    <row r="10" s="42">
      <c r="A10" s="13" t="inlineStr">
        <is>
          <t>Q2-2026</t>
        </is>
      </c>
      <c r="B10" s="13" t="n">
        <v>5</v>
      </c>
      <c r="C10" s="13" t="n">
        <v>0</v>
      </c>
      <c r="D10" s="25" t="inlineStr">
        <is>
          <t>Yes</t>
        </is>
      </c>
      <c r="E10" s="13" t="inlineStr">
        <is>
          <t>-</t>
        </is>
      </c>
      <c r="F10" s="13" t="inlineStr">
        <is>
          <t>Within &lt;=4</t>
        </is>
      </c>
    </row>
    <row r="11">
      <c r="A11" s="13" t="inlineStr">
        <is>
          <t>Q3-2026</t>
        </is>
      </c>
      <c r="B11" s="13" t="n">
        <v>8</v>
      </c>
      <c r="C11" s="13" t="n">
        <v>3</v>
      </c>
      <c r="D11" s="15" t="inlineStr">
        <is>
          <t>Yes</t>
        </is>
      </c>
      <c r="E11" s="13" t="inlineStr">
        <is>
          <t>45359, 41696, 43681</t>
        </is>
      </c>
      <c r="F11" s="13" t="inlineStr">
        <is>
          <t>Data Issue = Yes on the Q3-2026 tracker. Threshold &lt;=4.</t>
        </is>
      </c>
    </row>
    <row r="12">
      <c r="D12" s="10" t="n"/>
    </row>
    <row r="13">
      <c r="D13" s="10" t="n"/>
    </row>
    <row r="15">
      <c r="A15" s="5" t="n"/>
      <c r="B15" s="5" t="n"/>
      <c r="C15" s="5" t="n"/>
      <c r="D15" s="5" t="n"/>
      <c r="E15" s="5" t="n"/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1" customWidth="1" style="42" min="3" max="3"/>
    <col width="14" customWidth="1" style="42" min="4" max="6"/>
  </cols>
  <sheetData>
    <row r="1" ht="30" customHeight="1" s="42">
      <c r="A1" s="16" t="inlineStr">
        <is>
          <t>Santosh_OKR_Checklist!A1</t>
        </is>
      </c>
      <c r="B1" s="3" t="n"/>
    </row>
    <row r="3" ht="30" customHeight="1" s="42">
      <c r="A3" s="26" t="inlineStr">
        <is>
          <t>Rework_Reopen_Proxy</t>
        </is>
      </c>
    </row>
    <row r="4" ht="30" customHeight="1" s="42">
      <c r="A4" s="12" t="inlineStr">
        <is>
          <t>Proxy = reopen/rework keywords only (OnHold/UAT wait excluded). Target &lt;5%.</t>
        </is>
      </c>
    </row>
    <row r="6" ht="21.95" customHeight="1" s="42">
      <c r="A6" s="11" t="inlineStr">
        <is>
          <t>Quarter</t>
        </is>
      </c>
      <c r="B6" s="11" t="inlineStr">
        <is>
          <t>Tickets</t>
        </is>
      </c>
      <c r="C6" s="11" t="inlineStr">
        <is>
          <t>Rework Proxy Count</t>
        </is>
      </c>
      <c r="D6" s="11" t="inlineStr">
        <is>
          <t>Rate %</t>
        </is>
      </c>
      <c r="E6" s="11" t="inlineStr">
        <is>
          <t>Yes/No</t>
        </is>
      </c>
      <c r="F6" s="11" t="inlineStr">
        <is>
          <t>Ticket Nos.</t>
        </is>
      </c>
    </row>
    <row r="7">
      <c r="A7" s="13" t="inlineStr">
        <is>
          <t>Q3-2025</t>
        </is>
      </c>
      <c r="B7" s="13" t="n">
        <v>11</v>
      </c>
      <c r="C7" s="13" t="n">
        <v>0</v>
      </c>
      <c r="D7" s="13" t="n">
        <v>0</v>
      </c>
      <c r="E7" s="25" t="inlineStr">
        <is>
          <t>Yes</t>
        </is>
      </c>
      <c r="F7" s="13" t="inlineStr">
        <is>
          <t>-</t>
        </is>
      </c>
    </row>
    <row r="8">
      <c r="A8" s="13" t="inlineStr">
        <is>
          <t>Q4-2025</t>
        </is>
      </c>
      <c r="B8" s="13" t="n">
        <v>8</v>
      </c>
      <c r="C8" s="13" t="n">
        <v>0</v>
      </c>
      <c r="D8" s="13" t="n">
        <v>0</v>
      </c>
      <c r="E8" s="25" t="inlineStr">
        <is>
          <t>Yes</t>
        </is>
      </c>
      <c r="F8" s="13" t="inlineStr">
        <is>
          <t>-</t>
        </is>
      </c>
    </row>
    <row r="9">
      <c r="A9" s="13" t="inlineStr">
        <is>
          <t>Q1-2026</t>
        </is>
      </c>
      <c r="B9" s="13" t="n">
        <v>4</v>
      </c>
      <c r="C9" s="13" t="n">
        <v>0</v>
      </c>
      <c r="D9" s="13" t="n">
        <v>0</v>
      </c>
      <c r="E9" s="25" t="inlineStr">
        <is>
          <t>Yes</t>
        </is>
      </c>
      <c r="F9" s="13" t="inlineStr">
        <is>
          <t>-</t>
        </is>
      </c>
    </row>
    <row r="10" s="42">
      <c r="A10" s="13" t="inlineStr">
        <is>
          <t>Q2-2026</t>
        </is>
      </c>
      <c r="B10" s="13" t="n">
        <v>6</v>
      </c>
      <c r="C10" s="13" t="n">
        <v>0</v>
      </c>
      <c r="D10" s="13" t="n">
        <v>0</v>
      </c>
      <c r="E10" s="25" t="inlineStr">
        <is>
          <t>Yes</t>
        </is>
      </c>
      <c r="F10" s="13" t="inlineStr">
        <is>
          <t>-</t>
        </is>
      </c>
    </row>
    <row r="11">
      <c r="A11" s="13" t="inlineStr">
        <is>
          <t>Q3-2026</t>
        </is>
      </c>
      <c r="B11" s="13" t="n">
        <v>10</v>
      </c>
      <c r="C11" s="13" t="n">
        <v>0</v>
      </c>
      <c r="D11" s="13" t="n">
        <v>0</v>
      </c>
      <c r="E11" s="15" t="inlineStr">
        <is>
          <t>Yes</t>
        </is>
      </c>
      <c r="F11" s="13" t="inlineStr">
        <is>
          <t>-</t>
        </is>
      </c>
    </row>
    <row r="12">
      <c r="E12" s="10" t="n"/>
    </row>
    <row r="13">
      <c r="E13" s="10" t="n"/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15" customWidth="1" style="42" min="3" max="3"/>
    <col width="23" customWidth="1" style="42" min="4" max="4"/>
    <col width="14" customWidth="1" style="42" min="5" max="5"/>
    <col width="18" customWidth="1" style="42" min="6" max="6"/>
  </cols>
  <sheetData>
    <row r="1" ht="30" customHeight="1" s="42">
      <c r="A1" s="16" t="inlineStr">
        <is>
          <t>Santosh_OKR_Checklist!A1</t>
        </is>
      </c>
      <c r="B1" s="3" t="n"/>
    </row>
    <row r="2"/>
    <row r="3" ht="30" customHeight="1" s="42">
      <c r="A3" s="26" t="inlineStr">
        <is>
          <t>Learning_Evidence</t>
        </is>
      </c>
    </row>
    <row r="4" ht="36" customHeight="1" s="42">
      <c r="A4" s="13" t="inlineStr">
        <is>
          <t>2025: QAD/Progress POCs. 2026: Python POC committed to Bitbucket https://bitbucket.org/msnalashaa/performance-learning-development/src/main/2026/Santosh/ Q1 Fundamentals / Q2 Application; Q3–Q4 certs/AI per PMS KPI.</t>
        </is>
      </c>
    </row>
    <row r="5"/>
    <row r="6" ht="21.95" customHeight="1" s="42">
      <c r="A6" s="11" t="inlineStr">
        <is>
          <t>Quarter</t>
        </is>
      </c>
      <c r="B6" s="11" t="inlineStr">
        <is>
          <t>KPI</t>
        </is>
      </c>
      <c r="C6" s="11" t="inlineStr">
        <is>
          <t>POC / Course</t>
        </is>
      </c>
      <c r="D6" s="11" t="inlineStr">
        <is>
          <t>Evidence Link / Path</t>
        </is>
      </c>
      <c r="E6" s="11" t="inlineStr">
        <is>
          <t>Yes/No</t>
        </is>
      </c>
      <c r="F6" s="5" t="n"/>
    </row>
    <row r="7" ht="60" customHeight="1" s="42">
      <c r="A7" s="13" t="inlineStr">
        <is>
          <t>Q3-2025</t>
        </is>
      </c>
      <c r="B7" s="13" t="inlineStr">
        <is>
          <t>Self Learning</t>
        </is>
      </c>
      <c r="C7" s="13" t="inlineStr">
        <is>
          <t>Progress/QAD applied learning on support tickets</t>
        </is>
      </c>
      <c r="D7" s="8" t="n"/>
      <c r="E7" s="25" t="inlineStr">
        <is>
          <t>Yes</t>
        </is>
      </c>
    </row>
    <row r="8" ht="60" customHeight="1" s="42">
      <c r="A8" s="13" t="inlineStr">
        <is>
          <t>Q4-2025</t>
        </is>
      </c>
      <c r="B8" s="13" t="inlineStr">
        <is>
          <t>Self Learning</t>
        </is>
      </c>
      <c r="C8" s="13" t="inlineStr">
        <is>
          <t>QAD cutover/setup checklist contribution</t>
        </is>
      </c>
      <c r="D8" s="8" t="n"/>
      <c r="E8" s="25" t="inlineStr">
        <is>
          <t>Yes</t>
        </is>
      </c>
    </row>
    <row r="9" ht="36" customHeight="1" s="42">
      <c r="A9" s="13" t="inlineStr">
        <is>
          <t>Q1-2026</t>
        </is>
      </c>
      <c r="B9" s="13" t="inlineStr">
        <is>
          <t>L&amp;D</t>
        </is>
      </c>
      <c r="C9" s="13" t="inlineStr">
        <is>
          <t>Python Fundamentals — basics &amp; simple programs</t>
        </is>
      </c>
      <c r="D9" s="16" t="inlineStr">
        <is>
          <t>https://bitbucket.org/msnalashaa/performance-learning-development/src/main/2026/Santosh/</t>
        </is>
      </c>
      <c r="E9" s="25" t="inlineStr">
        <is>
          <t>Yes</t>
        </is>
      </c>
    </row>
    <row r="10" ht="36" customHeight="1" s="42">
      <c r="A10" s="13" t="inlineStr">
        <is>
          <t>Q2-2026</t>
        </is>
      </c>
      <c r="B10" s="13" t="inlineStr">
        <is>
          <t>L&amp;D</t>
        </is>
      </c>
      <c r="C10" s="13" t="inlineStr">
        <is>
          <t>Python Application &amp; Basic Projects</t>
        </is>
      </c>
      <c r="D10" s="16" t="inlineStr">
        <is>
          <t>https://bitbucket.org/msnalashaa/performance-learning-development/src/main/2026/Santosh/</t>
        </is>
      </c>
      <c r="E10" s="25" t="inlineStr">
        <is>
          <t>Yes</t>
        </is>
      </c>
    </row>
    <row r="11" ht="36" customHeight="1" s="42">
      <c r="A11" s="55" t="inlineStr">
        <is>
          <t>Q3-2026</t>
        </is>
      </c>
      <c r="B11" s="55" t="inlineStr">
        <is>
          <t>L&amp;D</t>
        </is>
      </c>
      <c r="C11" s="55" t="inlineStr">
        <is>
          <t>Intermediate Python and QAD purchase-order automation. Reads PO data, validates open transactions, classifies discrete and schedule POs, calculates value, and writes a supplier CSV summary. Learning demonstration, not a production QAD integration. Q3 review 5 Oct 2026; POC demo 15 Oct 2026.</t>
        </is>
      </c>
      <c r="D11" s="56" t="inlineStr">
        <is>
          <t>https://bitbucket.org/pranjan/performance-learning-development/src/main/2026/Santosh/Q3/</t>
        </is>
      </c>
      <c r="E11" s="57" t="inlineStr">
        <is>
          <t>Yes</t>
        </is>
      </c>
    </row>
    <row r="12" ht="36" customHeight="1" s="42">
      <c r="A12" s="13" t="inlineStr">
        <is>
          <t>Q4-2026</t>
        </is>
      </c>
      <c r="B12" s="13" t="inlineStr">
        <is>
          <t>L&amp;D</t>
        </is>
      </c>
      <c r="C12" s="13" t="inlineStr">
        <is>
          <t>1 certification/course OR AI/Automation initiative (85%)</t>
        </is>
      </c>
      <c r="D12" s="16" t="inlineStr">
        <is>
          <t>https://bitbucket.org/msnalashaa/performance-learning-development/src/main/2026/Santosh/</t>
        </is>
      </c>
    </row>
  </sheetData>
  <hyperlinks>
    <hyperlink ref="A1" location="Santosh_OKR_Checklist!A1" display="Santosh_OKR_Checklist!A1"/>
    <hyperlink xmlns:r="http://schemas.openxmlformats.org/officeDocument/2006/relationships" ref="D9" r:id="rId1"/>
    <hyperlink xmlns:r="http://schemas.openxmlformats.org/officeDocument/2006/relationships" ref="D10" r:id="rId2"/>
    <hyperlink xmlns:r="http://schemas.openxmlformats.org/officeDocument/2006/relationships" ref="D11" r:id="rId3"/>
    <hyperlink xmlns:r="http://schemas.openxmlformats.org/officeDocument/2006/relationships" ref="D12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Tickets_Master_Santosh — full Helpdesk dump (correlation source of truth)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36" customHeight="1" s="42">
      <c r="A6" s="12" t="inlineStr">
        <is>
          <t>20701</t>
        </is>
      </c>
      <c r="B6" s="12" t="inlineStr">
        <is>
          <t>FW: A6240039-001. Short production.  PRAMEC   downloaded file didn't show the change from a week to another.</t>
        </is>
      </c>
      <c r="C6" s="12" t="inlineStr">
        <is>
          <t>In Progress-UAT</t>
        </is>
      </c>
      <c r="D6" s="4" t="n"/>
      <c r="E6" s="35" t="n">
        <v>45672</v>
      </c>
      <c r="F6" s="4" t="n"/>
      <c r="G6" s="12" t="inlineStr">
        <is>
          <t>Santhosh</t>
        </is>
      </c>
      <c r="H6" s="12" t="inlineStr">
        <is>
          <t>Yes</t>
        </is>
      </c>
      <c r="I6" s="12" t="inlineStr">
        <is>
          <t>Yes</t>
        </is>
      </c>
      <c r="J6" s="12" t="n">
        <v>50</v>
      </c>
      <c r="K6" s="12" t="n">
        <v>50</v>
      </c>
      <c r="L6" s="12" t="inlineStr">
        <is>
          <t>Q1-2025</t>
        </is>
      </c>
      <c r="M6" s="4" t="n"/>
    </row>
    <row r="7" ht="36" customHeight="1" s="42">
      <c r="A7" s="12" t="inlineStr">
        <is>
          <t>21294</t>
        </is>
      </c>
      <c r="B7" s="12" t="inlineStr">
        <is>
          <t>FW: Updated Pramec 1-23 Schedule  •	GZ220009-008            SUPPLIER VISUALIZATION</t>
        </is>
      </c>
      <c r="C7" s="12" t="inlineStr">
        <is>
          <t>In Progress-UAT</t>
        </is>
      </c>
      <c r="D7" s="4" t="n"/>
      <c r="E7" s="35" t="n">
        <v>45681</v>
      </c>
      <c r="F7" s="4" t="n"/>
      <c r="G7" s="12" t="inlineStr">
        <is>
          <t>Santhosh</t>
        </is>
      </c>
      <c r="H7" s="12" t="inlineStr">
        <is>
          <t>Yes</t>
        </is>
      </c>
      <c r="I7" s="12" t="inlineStr">
        <is>
          <t>Yes</t>
        </is>
      </c>
      <c r="J7" s="12" t="n">
        <v>50</v>
      </c>
      <c r="K7" s="12" t="n">
        <v>50</v>
      </c>
      <c r="L7" s="12" t="inlineStr">
        <is>
          <t>Q1-2025</t>
        </is>
      </c>
      <c r="M7" s="4" t="n"/>
    </row>
    <row r="8" ht="30" customHeight="1" s="42">
      <c r="A8" s="12" t="inlineStr">
        <is>
          <t>25830</t>
        </is>
      </c>
      <c r="B8" s="12" t="inlineStr">
        <is>
          <t>WO missing for ACX EV</t>
        </is>
      </c>
      <c r="C8" s="12" t="inlineStr">
        <is>
          <t>Closed</t>
        </is>
      </c>
      <c r="D8" s="4" t="n"/>
      <c r="E8" s="35" t="n">
        <v>45761</v>
      </c>
      <c r="F8" s="35" t="n">
        <v>46057</v>
      </c>
      <c r="G8" s="12" t="inlineStr">
        <is>
          <t>Santhosh</t>
        </is>
      </c>
      <c r="H8" s="12" t="inlineStr">
        <is>
          <t>No</t>
        </is>
      </c>
      <c r="I8" s="12" t="inlineStr">
        <is>
          <t>NO</t>
        </is>
      </c>
      <c r="J8" s="4" t="n"/>
      <c r="K8" s="12" t="n">
        <v>25</v>
      </c>
      <c r="L8" s="12" t="inlineStr">
        <is>
          <t>Q1-2026</t>
        </is>
      </c>
      <c r="M8" s="12" t="n">
        <v>296</v>
      </c>
    </row>
    <row r="9" ht="30" customHeight="1" s="42">
      <c r="A9" s="12" t="inlineStr">
        <is>
          <t>30907</t>
        </is>
      </c>
      <c r="B9" s="12" t="inlineStr">
        <is>
          <t>System Freeze and Login Issue – Order PO145013</t>
        </is>
      </c>
      <c r="C9" s="12" t="inlineStr">
        <is>
          <t>Closed</t>
        </is>
      </c>
      <c r="D9" s="4" t="n"/>
      <c r="E9" s="35" t="n">
        <v>45896</v>
      </c>
      <c r="F9" s="35" t="n">
        <v>46041</v>
      </c>
      <c r="G9" s="12" t="inlineStr">
        <is>
          <t>Santhosh</t>
        </is>
      </c>
      <c r="H9" s="12" t="inlineStr">
        <is>
          <t>No</t>
        </is>
      </c>
      <c r="I9" s="12" t="inlineStr">
        <is>
          <t>no</t>
        </is>
      </c>
      <c r="J9" s="4" t="n"/>
      <c r="K9" s="4" t="n"/>
      <c r="L9" s="12" t="inlineStr">
        <is>
          <t>Q1-2026</t>
        </is>
      </c>
      <c r="M9" s="12" t="n">
        <v>145</v>
      </c>
    </row>
    <row r="10" ht="30" customHeight="1" s="42">
      <c r="A10" s="12" t="inlineStr">
        <is>
          <t>34359</t>
        </is>
      </c>
      <c r="B10" s="12" t="inlineStr">
        <is>
          <t>Assistance Required for Order Entry PO145030 Line 42 – Kit 7338</t>
        </is>
      </c>
      <c r="C10" s="12" t="inlineStr">
        <is>
          <t>Closed</t>
        </is>
      </c>
      <c r="D10" s="4" t="n"/>
      <c r="E10" s="35" t="n">
        <v>45942</v>
      </c>
      <c r="F10" s="35" t="n">
        <v>46041</v>
      </c>
      <c r="G10" s="12" t="inlineStr">
        <is>
          <t>Santhosh</t>
        </is>
      </c>
      <c r="H10" s="12" t="inlineStr">
        <is>
          <t>NO</t>
        </is>
      </c>
      <c r="I10" s="12" t="inlineStr">
        <is>
          <t>No</t>
        </is>
      </c>
      <c r="J10" s="4" t="n"/>
      <c r="K10" s="4" t="n"/>
      <c r="L10" s="12" t="inlineStr">
        <is>
          <t>Q1-2026</t>
        </is>
      </c>
      <c r="M10" s="12" t="n">
        <v>99</v>
      </c>
    </row>
    <row r="11" ht="30" customHeight="1" s="42">
      <c r="A11" s="12" t="inlineStr">
        <is>
          <t>34626</t>
        </is>
      </c>
      <c r="B11" s="12" t="inlineStr">
        <is>
          <t>20057474 Not showing as lead truck in QAD</t>
        </is>
      </c>
      <c r="C11" s="12" t="inlineStr">
        <is>
          <t>Closed</t>
        </is>
      </c>
      <c r="D11" s="4" t="n"/>
      <c r="E11" s="35" t="n">
        <v>46010</v>
      </c>
      <c r="F11" s="35" t="n">
        <v>46040</v>
      </c>
      <c r="G11" s="12" t="inlineStr">
        <is>
          <t>Santhosh</t>
        </is>
      </c>
      <c r="H11" s="12" t="inlineStr">
        <is>
          <t>No</t>
        </is>
      </c>
      <c r="I11" s="12" t="inlineStr">
        <is>
          <t>NO</t>
        </is>
      </c>
      <c r="J11" s="4" t="n"/>
      <c r="K11" s="4" t="n"/>
      <c r="L11" s="12" t="inlineStr">
        <is>
          <t>Q1-2026</t>
        </is>
      </c>
      <c r="M11" s="12" t="n">
        <v>30</v>
      </c>
    </row>
    <row r="12" ht="30" customHeight="1" s="42">
      <c r="A12" s="12" t="n">
        <v>12198</v>
      </c>
      <c r="B12" s="12" t="inlineStr">
        <is>
          <t>Supplier Schedule file shows both items AND NO Requirement</t>
        </is>
      </c>
      <c r="C12" s="12" t="inlineStr">
        <is>
          <t>Closed</t>
        </is>
      </c>
      <c r="D12" s="4" t="n"/>
      <c r="E12" s="35" t="n">
        <v>45874</v>
      </c>
      <c r="F12" s="35" t="n">
        <v>45795</v>
      </c>
      <c r="G12" s="12" t="inlineStr">
        <is>
          <t>Santhosh</t>
        </is>
      </c>
      <c r="H12" s="12" t="inlineStr">
        <is>
          <t>No</t>
        </is>
      </c>
      <c r="I12" s="12" t="inlineStr">
        <is>
          <t>No</t>
        </is>
      </c>
      <c r="J12" s="4" t="n"/>
      <c r="K12" s="4" t="n"/>
      <c r="L12" s="12" t="inlineStr">
        <is>
          <t>Q2-2025</t>
        </is>
      </c>
      <c r="M12" s="12" t="n">
        <v>-79</v>
      </c>
    </row>
    <row r="13" ht="30" customHeight="1" s="42">
      <c r="A13" s="12" t="inlineStr">
        <is>
          <t>18167</t>
        </is>
      </c>
      <c r="B13" s="12" t="inlineStr">
        <is>
          <t>PARTS ADDED TO SS.xlsx Need additional columns</t>
        </is>
      </c>
      <c r="C13" s="12" t="inlineStr">
        <is>
          <t>Closed</t>
        </is>
      </c>
      <c r="D13" s="4" t="n"/>
      <c r="E13" s="35" t="n">
        <v>45609</v>
      </c>
      <c r="F13" s="35" t="n">
        <v>45815</v>
      </c>
      <c r="G13" s="12" t="inlineStr">
        <is>
          <t>Santhosh</t>
        </is>
      </c>
      <c r="H13" s="12" t="inlineStr">
        <is>
          <t>Yes</t>
        </is>
      </c>
      <c r="I13" s="12" t="inlineStr">
        <is>
          <t>Yes</t>
        </is>
      </c>
      <c r="J13" s="12" t="n">
        <v>2</v>
      </c>
      <c r="K13" s="12" t="n">
        <v>2</v>
      </c>
      <c r="L13" s="12" t="inlineStr">
        <is>
          <t>Q2-2025</t>
        </is>
      </c>
      <c r="M13" s="12" t="n">
        <v>206</v>
      </c>
    </row>
    <row r="14" ht="45" customHeight="1" s="42">
      <c r="A14" s="12" t="inlineStr">
        <is>
          <t>19123</t>
        </is>
      </c>
      <c r="B14" s="12" t="inlineStr">
        <is>
          <t>a2350817-001 with -10 at Non-net</t>
        </is>
      </c>
      <c r="C14" s="12" t="inlineStr">
        <is>
          <t>Closed</t>
        </is>
      </c>
      <c r="D14" s="4" t="n"/>
      <c r="E14" s="35" t="n">
        <v>45905</v>
      </c>
      <c r="F14" s="35" t="n">
        <v>45796</v>
      </c>
      <c r="G14" s="12" t="inlineStr">
        <is>
          <t>Santhosh</t>
        </is>
      </c>
      <c r="H14" s="12" t="inlineStr">
        <is>
          <t>No</t>
        </is>
      </c>
      <c r="I14" s="12" t="inlineStr">
        <is>
          <t>No</t>
        </is>
      </c>
      <c r="J14" s="4" t="n"/>
      <c r="K14" s="4" t="n"/>
      <c r="L14" s="12" t="inlineStr">
        <is>
          <t>Q2-2025</t>
        </is>
      </c>
      <c r="M14" s="12" t="n">
        <v>-109</v>
      </c>
    </row>
    <row r="15" ht="30" customHeight="1" s="42">
      <c r="A15" s="12" t="inlineStr">
        <is>
          <t>20742</t>
        </is>
      </c>
      <c r="B15" s="12" t="inlineStr">
        <is>
          <t>Automated Cancellation Report - request for cancelled trucks</t>
        </is>
      </c>
      <c r="C15" s="12" t="inlineStr">
        <is>
          <t>Closed</t>
        </is>
      </c>
      <c r="D15" s="4" t="n"/>
      <c r="E15" s="35" t="n">
        <v>45796</v>
      </c>
      <c r="F15" s="35" t="n">
        <v>45831</v>
      </c>
      <c r="G15" s="12" t="inlineStr">
        <is>
          <t>Santhosh</t>
        </is>
      </c>
      <c r="H15" s="12" t="inlineStr">
        <is>
          <t>No</t>
        </is>
      </c>
      <c r="I15" s="12" t="inlineStr">
        <is>
          <t>No</t>
        </is>
      </c>
      <c r="J15" s="4" t="n"/>
      <c r="K15" s="4" t="n"/>
      <c r="L15" s="12" t="inlineStr">
        <is>
          <t>Q2-2025</t>
        </is>
      </c>
      <c r="M15" s="12" t="n">
        <v>35</v>
      </c>
    </row>
    <row r="16" ht="45" customHeight="1" s="42">
      <c r="A16" s="12" t="inlineStr">
        <is>
          <t>23418</t>
        </is>
      </c>
      <c r="B16" s="12" t="inlineStr">
        <is>
          <t>Manufacturing lead time - Axles</t>
        </is>
      </c>
      <c r="C16" s="12" t="inlineStr">
        <is>
          <t>Closed</t>
        </is>
      </c>
      <c r="D16" s="4" t="n"/>
      <c r="E16" s="35" t="n">
        <v>45750</v>
      </c>
      <c r="F16" s="35" t="n">
        <v>45755</v>
      </c>
      <c r="G16" s="12" t="inlineStr">
        <is>
          <t>Santhosh</t>
        </is>
      </c>
      <c r="H16" s="4" t="n"/>
      <c r="I16" s="4" t="n"/>
      <c r="J16" s="4" t="n"/>
      <c r="K16" s="4" t="n"/>
      <c r="L16" s="12" t="inlineStr">
        <is>
          <t>Q2-2025</t>
        </is>
      </c>
      <c r="M16" s="12" t="n">
        <v>5</v>
      </c>
    </row>
    <row r="17" ht="36" customHeight="1" s="42">
      <c r="A17" s="12" t="inlineStr">
        <is>
          <t>25883</t>
        </is>
      </c>
      <c r="B17" s="12" t="inlineStr">
        <is>
          <t>QAD - Need an excel report showing item number, site 4000, and W locations from the Item-Site Inventory Data tab</t>
        </is>
      </c>
      <c r="C17" s="12" t="inlineStr">
        <is>
          <t>Closed</t>
        </is>
      </c>
      <c r="D17" s="4" t="n"/>
      <c r="E17" s="35" t="n">
        <v>45762</v>
      </c>
      <c r="F17" s="35" t="n">
        <v>45836</v>
      </c>
      <c r="G17" s="12" t="inlineStr">
        <is>
          <t>Santhosh</t>
        </is>
      </c>
      <c r="H17" s="12" t="inlineStr">
        <is>
          <t>No</t>
        </is>
      </c>
      <c r="I17" s="12" t="inlineStr">
        <is>
          <t>Yes</t>
        </is>
      </c>
      <c r="J17" s="4" t="n"/>
      <c r="K17" s="12" t="n">
        <v>25</v>
      </c>
      <c r="L17" s="12" t="inlineStr">
        <is>
          <t>Q2-2025</t>
        </is>
      </c>
      <c r="M17" s="12" t="n">
        <v>74</v>
      </c>
    </row>
    <row r="18" ht="30" customHeight="1" s="42">
      <c r="A18" s="12" t="inlineStr">
        <is>
          <t>26149</t>
        </is>
      </c>
      <c r="B18" s="12" t="inlineStr">
        <is>
          <t>2025 04 23 Trident Weekly schedules.xlsx</t>
        </is>
      </c>
      <c r="C18" s="12" t="inlineStr">
        <is>
          <t>In Progress-UAT</t>
        </is>
      </c>
      <c r="D18" s="4" t="n"/>
      <c r="E18" s="35" t="n">
        <v>45770</v>
      </c>
      <c r="F18" s="4" t="n"/>
      <c r="G18" s="12" t="inlineStr">
        <is>
          <t>Santhosh</t>
        </is>
      </c>
      <c r="H18" s="12" t="inlineStr">
        <is>
          <t>Yes</t>
        </is>
      </c>
      <c r="I18" s="12" t="inlineStr">
        <is>
          <t>Yes</t>
        </is>
      </c>
      <c r="J18" s="12" t="n">
        <v>50</v>
      </c>
      <c r="K18" s="12" t="n">
        <v>50</v>
      </c>
      <c r="L18" s="12" t="inlineStr">
        <is>
          <t>Q2-2025</t>
        </is>
      </c>
      <c r="M18" s="4" t="n"/>
    </row>
    <row r="19" ht="30" customHeight="1" s="42">
      <c r="A19" s="12" t="inlineStr">
        <is>
          <t>26465</t>
        </is>
      </c>
      <c r="B19" s="12" t="inlineStr">
        <is>
          <t>Recording user ID when changing parameters via upload utilities</t>
        </is>
      </c>
      <c r="C19" s="12" t="inlineStr">
        <is>
          <t>Closed</t>
        </is>
      </c>
      <c r="D19" s="4" t="n"/>
      <c r="E19" s="35" t="n">
        <v>45777</v>
      </c>
      <c r="F19" s="35" t="n">
        <v>45830</v>
      </c>
      <c r="G19" s="12" t="inlineStr">
        <is>
          <t>Santhosh</t>
        </is>
      </c>
      <c r="H19" s="12" t="inlineStr">
        <is>
          <t>Yes</t>
        </is>
      </c>
      <c r="I19" s="12" t="inlineStr">
        <is>
          <t>Yes</t>
        </is>
      </c>
      <c r="J19" s="12" t="n">
        <v>30</v>
      </c>
      <c r="K19" s="12" t="n">
        <v>30</v>
      </c>
      <c r="L19" s="12" t="inlineStr">
        <is>
          <t>Q2-2025</t>
        </is>
      </c>
      <c r="M19" s="12" t="n">
        <v>53</v>
      </c>
    </row>
    <row r="20" ht="45" customHeight="1" s="42">
      <c r="A20" s="12" t="inlineStr">
        <is>
          <t>3749</t>
        </is>
      </c>
      <c r="B20" s="12" t="inlineStr">
        <is>
          <t>QAD: Deemed Inactive Supplier</t>
        </is>
      </c>
      <c r="C20" s="12" t="inlineStr">
        <is>
          <t>Closed</t>
        </is>
      </c>
      <c r="D20" s="4" t="n"/>
      <c r="E20" s="35" t="n">
        <v>45055</v>
      </c>
      <c r="F20" s="35" t="n">
        <v>45757</v>
      </c>
      <c r="G20" s="12" t="inlineStr">
        <is>
          <t>Santhosh</t>
        </is>
      </c>
      <c r="H20" s="12" t="inlineStr">
        <is>
          <t>yes</t>
        </is>
      </c>
      <c r="I20" s="12" t="inlineStr">
        <is>
          <t>Yes</t>
        </is>
      </c>
      <c r="J20" s="12" t="n">
        <v>25</v>
      </c>
      <c r="K20" s="12" t="n">
        <v>25</v>
      </c>
      <c r="L20" s="12" t="inlineStr">
        <is>
          <t>Q2-2025</t>
        </is>
      </c>
      <c r="M20" s="12" t="n">
        <v>702</v>
      </c>
    </row>
    <row r="21" ht="30" customHeight="1" s="42">
      <c r="A21" s="12" t="inlineStr">
        <is>
          <t>30393</t>
        </is>
      </c>
      <c r="B21" s="12" t="inlineStr">
        <is>
          <t>Update DC Cab and Hood Leadtime Offset</t>
        </is>
      </c>
      <c r="C21" s="12" t="inlineStr">
        <is>
          <t>Closed</t>
        </is>
      </c>
      <c r="D21" s="4" t="n"/>
      <c r="E21" s="35" t="n">
        <v>45882</v>
      </c>
      <c r="F21" s="35" t="n">
        <v>46132</v>
      </c>
      <c r="G21" s="12" t="inlineStr">
        <is>
          <t>Santhosh</t>
        </is>
      </c>
      <c r="H21" s="12" t="inlineStr">
        <is>
          <t>no</t>
        </is>
      </c>
      <c r="I21" s="12" t="inlineStr">
        <is>
          <t>No</t>
        </is>
      </c>
      <c r="J21" s="4" t="n"/>
      <c r="K21" s="4" t="n"/>
      <c r="L21" s="12" t="inlineStr">
        <is>
          <t>Q2-2026</t>
        </is>
      </c>
      <c r="M21" s="12" t="n">
        <v>250</v>
      </c>
    </row>
    <row r="22" ht="36" customHeight="1" s="42">
      <c r="A22" s="12" t="inlineStr">
        <is>
          <t>35594</t>
        </is>
      </c>
      <c r="B22" s="12" t="inlineStr">
        <is>
          <t>Add validation to any orders that exceed MRP recommendation (quantities with no demand support)</t>
        </is>
      </c>
      <c r="C22" s="12" t="inlineStr">
        <is>
          <t>Closed</t>
        </is>
      </c>
      <c r="D22" s="4" t="n"/>
      <c r="E22" s="35" t="n">
        <v>46044</v>
      </c>
      <c r="F22" s="35" t="n">
        <v>46161</v>
      </c>
      <c r="G22" s="12" t="inlineStr">
        <is>
          <t>Santhosh</t>
        </is>
      </c>
      <c r="H22" s="12" t="inlineStr">
        <is>
          <t>yes</t>
        </is>
      </c>
      <c r="I22" s="12" t="inlineStr">
        <is>
          <t>yes</t>
        </is>
      </c>
      <c r="J22" s="12" t="n">
        <v>200</v>
      </c>
      <c r="K22" s="12" t="n">
        <v>200</v>
      </c>
      <c r="L22" s="12" t="inlineStr">
        <is>
          <t>Q2-2026</t>
        </is>
      </c>
      <c r="M22" s="12" t="n">
        <v>117</v>
      </c>
    </row>
    <row r="23">
      <c r="A23" s="12" t="inlineStr">
        <is>
          <t>36142</t>
        </is>
      </c>
      <c r="B23" s="12" t="inlineStr">
        <is>
          <t>QAD Refresh</t>
        </is>
      </c>
      <c r="C23" s="12" t="inlineStr">
        <is>
          <t>Closed</t>
        </is>
      </c>
      <c r="D23" s="4" t="n"/>
      <c r="E23" s="35" t="n">
        <v>46114</v>
      </c>
      <c r="F23" s="35" t="n">
        <v>46127</v>
      </c>
      <c r="G23" s="12" t="inlineStr">
        <is>
          <t>Santhosh</t>
        </is>
      </c>
      <c r="H23" s="12" t="inlineStr">
        <is>
          <t>No</t>
        </is>
      </c>
      <c r="I23" s="12" t="inlineStr">
        <is>
          <t>No</t>
        </is>
      </c>
      <c r="J23" s="4" t="n"/>
      <c r="K23" s="4" t="n"/>
      <c r="L23" s="12" t="inlineStr">
        <is>
          <t>Q2-2026</t>
        </is>
      </c>
      <c r="M23" s="12" t="n">
        <v>13</v>
      </c>
    </row>
    <row r="24" ht="30" customHeight="1" s="42">
      <c r="A24" s="12" t="inlineStr">
        <is>
          <t>38849</t>
        </is>
      </c>
      <c r="B24" s="12" t="inlineStr">
        <is>
          <t>MOQ and OM Parameter validation for new material setup</t>
        </is>
      </c>
      <c r="C24" s="12" t="inlineStr">
        <is>
          <t>Closed</t>
        </is>
      </c>
      <c r="D24" s="4" t="n"/>
      <c r="E24" s="35" t="n">
        <v>46126</v>
      </c>
      <c r="F24" s="35" t="n">
        <v>46162</v>
      </c>
      <c r="G24" s="12" t="inlineStr">
        <is>
          <t>Santhosh</t>
        </is>
      </c>
      <c r="H24" s="12" t="inlineStr">
        <is>
          <t>yes</t>
        </is>
      </c>
      <c r="I24" s="12" t="inlineStr">
        <is>
          <t>Yes</t>
        </is>
      </c>
      <c r="J24" s="12" t="n">
        <v>100</v>
      </c>
      <c r="K24" s="12" t="n">
        <v>100</v>
      </c>
      <c r="L24" s="12" t="inlineStr">
        <is>
          <t>Q2-2026</t>
        </is>
      </c>
      <c r="M24" s="12" t="n">
        <v>36</v>
      </c>
    </row>
    <row r="25" ht="30" customHeight="1" s="42">
      <c r="A25" s="12" t="inlineStr">
        <is>
          <t>41848</t>
        </is>
      </c>
      <c r="B25" s="12" t="inlineStr">
        <is>
          <t>Data pull from QAD</t>
        </is>
      </c>
      <c r="C25" s="12" t="inlineStr">
        <is>
          <t>Closed</t>
        </is>
      </c>
      <c r="D25" s="4" t="n"/>
      <c r="E25" s="35" t="n">
        <v>46190</v>
      </c>
      <c r="F25" s="35" t="n">
        <v>46202</v>
      </c>
      <c r="G25" s="12" t="inlineStr">
        <is>
          <t>Santhosh</t>
        </is>
      </c>
      <c r="H25" s="12" t="inlineStr">
        <is>
          <t>No</t>
        </is>
      </c>
      <c r="I25" s="12" t="inlineStr">
        <is>
          <t>yes</t>
        </is>
      </c>
      <c r="J25" s="12" t="n">
        <v>50</v>
      </c>
      <c r="K25" s="12" t="n">
        <v>50</v>
      </c>
      <c r="L25" s="12" t="inlineStr">
        <is>
          <t>Q2-2026</t>
        </is>
      </c>
      <c r="M25" s="12" t="n">
        <v>12</v>
      </c>
    </row>
    <row r="26" ht="30" customHeight="1" s="42">
      <c r="A26" s="12" t="inlineStr">
        <is>
          <t>42203</t>
        </is>
      </c>
      <c r="B26" s="12" t="inlineStr">
        <is>
          <t>Price File/PO variance</t>
        </is>
      </c>
      <c r="C26" s="12" t="inlineStr">
        <is>
          <t>In Progress</t>
        </is>
      </c>
      <c r="D26" s="4" t="n"/>
      <c r="E26" s="35" t="n">
        <v>46199</v>
      </c>
      <c r="F26" s="4" t="n"/>
      <c r="G26" s="12" t="inlineStr">
        <is>
          <t>Santhosh</t>
        </is>
      </c>
      <c r="H26" s="12" t="inlineStr">
        <is>
          <t>No</t>
        </is>
      </c>
      <c r="I26" s="12" t="inlineStr">
        <is>
          <t>Yes</t>
        </is>
      </c>
      <c r="J26" s="12" t="n">
        <v>65</v>
      </c>
      <c r="K26" s="12" t="n">
        <v>65</v>
      </c>
      <c r="L26" s="12" t="inlineStr">
        <is>
          <t>Q2-2026</t>
        </is>
      </c>
      <c r="M26" s="4" t="n"/>
    </row>
    <row r="27" ht="30" customHeight="1" s="42">
      <c r="A27" s="12" t="inlineStr">
        <is>
          <t>43310</t>
        </is>
      </c>
      <c r="B27" s="12" t="inlineStr">
        <is>
          <t>90.29 - can we get more characters added to the Description field</t>
        </is>
      </c>
      <c r="C27" s="12" t="inlineStr">
        <is>
          <t>Closed</t>
        </is>
      </c>
      <c r="D27" s="4" t="n"/>
      <c r="E27" s="35" t="n">
        <v>46233</v>
      </c>
      <c r="F27" s="35" t="n">
        <v>46181</v>
      </c>
      <c r="G27" s="12" t="inlineStr">
        <is>
          <t>Santhosh</t>
        </is>
      </c>
      <c r="H27" s="12" t="inlineStr">
        <is>
          <t>yes</t>
        </is>
      </c>
      <c r="I27" s="12" t="inlineStr">
        <is>
          <t>Yes</t>
        </is>
      </c>
      <c r="J27" s="12" t="n">
        <v>4</v>
      </c>
      <c r="K27" s="12" t="n">
        <v>4</v>
      </c>
      <c r="L27" s="12" t="inlineStr">
        <is>
          <t>Q3-2026</t>
        </is>
      </c>
      <c r="M27" s="12" t="n">
        <v>-52</v>
      </c>
    </row>
    <row r="28" ht="30" customHeight="1" s="42">
      <c r="A28" s="12" t="inlineStr">
        <is>
          <t>14119</t>
        </is>
      </c>
      <c r="B28" s="12" t="inlineStr">
        <is>
          <t>Floor plan reimbursement improvements</t>
        </is>
      </c>
      <c r="C28" s="12" t="inlineStr">
        <is>
          <t>Closed</t>
        </is>
      </c>
      <c r="D28" s="4" t="n"/>
      <c r="E28" s="35" t="n">
        <v>45526</v>
      </c>
      <c r="F28" s="35" t="n">
        <v>45845</v>
      </c>
      <c r="G28" s="12" t="inlineStr">
        <is>
          <t>Santhosh</t>
        </is>
      </c>
      <c r="H28" s="12" t="inlineStr">
        <is>
          <t>Yes</t>
        </is>
      </c>
      <c r="I28" s="12" t="inlineStr">
        <is>
          <t>yes</t>
        </is>
      </c>
      <c r="J28" s="12" t="n">
        <v>5</v>
      </c>
      <c r="K28" s="12" t="n">
        <v>2</v>
      </c>
      <c r="L28" s="12" t="inlineStr">
        <is>
          <t>Q3-2025</t>
        </is>
      </c>
      <c r="M28" s="12" t="n">
        <v>319</v>
      </c>
    </row>
    <row r="29" ht="30" customHeight="1" s="42">
      <c r="A29" s="12" t="inlineStr">
        <is>
          <t>27434</t>
        </is>
      </c>
      <c r="B29" s="12" t="inlineStr">
        <is>
          <t>QAD Action Message Browse displays incorrect Supplier Code and Sort Name</t>
        </is>
      </c>
      <c r="C29" s="12" t="inlineStr">
        <is>
          <t>Closed</t>
        </is>
      </c>
      <c r="D29" s="4" t="n"/>
      <c r="E29" s="35" t="n">
        <v>45799</v>
      </c>
      <c r="F29" s="35" t="n">
        <v>45887</v>
      </c>
      <c r="G29" s="12" t="inlineStr">
        <is>
          <t>Santhosh</t>
        </is>
      </c>
      <c r="H29" s="12" t="inlineStr">
        <is>
          <t>No</t>
        </is>
      </c>
      <c r="I29" s="12" t="inlineStr">
        <is>
          <t>No</t>
        </is>
      </c>
      <c r="J29" s="4" t="n"/>
      <c r="K29" s="4" t="n"/>
      <c r="L29" s="12" t="inlineStr">
        <is>
          <t>Q3-2025</t>
        </is>
      </c>
      <c r="M29" s="12" t="n">
        <v>88</v>
      </c>
    </row>
    <row r="30" ht="45" customHeight="1" s="42">
      <c r="A30" s="12" t="inlineStr">
        <is>
          <t>28646</t>
        </is>
      </c>
      <c r="B30" s="12" t="inlineStr">
        <is>
          <t>Supplier portal comparison with previous week schedule on the .csv file</t>
        </is>
      </c>
      <c r="C30" s="12" t="inlineStr">
        <is>
          <t>Closed</t>
        </is>
      </c>
      <c r="D30" s="4" t="n"/>
      <c r="E30" s="35" t="n">
        <v>45831</v>
      </c>
      <c r="F30" s="35" t="n">
        <v>45915</v>
      </c>
      <c r="G30" s="12" t="inlineStr">
        <is>
          <t>Santhosh</t>
        </is>
      </c>
      <c r="H30" s="12" t="inlineStr">
        <is>
          <t>Yes</t>
        </is>
      </c>
      <c r="I30" s="12" t="inlineStr">
        <is>
          <t>yes</t>
        </is>
      </c>
      <c r="J30" s="12" t="n">
        <v>50</v>
      </c>
      <c r="K30" s="12" t="n">
        <v>50</v>
      </c>
      <c r="L30" s="12" t="inlineStr">
        <is>
          <t>Q3-2025</t>
        </is>
      </c>
      <c r="M30" s="12" t="n">
        <v>84</v>
      </c>
    </row>
    <row r="31" ht="45" customHeight="1" s="42">
      <c r="A31" s="12" t="inlineStr">
        <is>
          <t>28961</t>
        </is>
      </c>
      <c r="B31" s="12" t="inlineStr">
        <is>
          <t>PO 119997 VO 1776533 - Using Wrong PO Price on VO - Bogus Variance Postings</t>
        </is>
      </c>
      <c r="C31" s="12" t="inlineStr">
        <is>
          <t>Closed</t>
        </is>
      </c>
      <c r="D31" s="4" t="n"/>
      <c r="E31" s="35" t="n">
        <v>45695</v>
      </c>
      <c r="F31" s="35" t="n">
        <v>45869</v>
      </c>
      <c r="G31" s="12" t="inlineStr">
        <is>
          <t>Santhosh</t>
        </is>
      </c>
      <c r="H31" s="12" t="inlineStr">
        <is>
          <t>No</t>
        </is>
      </c>
      <c r="I31" s="12" t="inlineStr">
        <is>
          <t>NO</t>
        </is>
      </c>
      <c r="J31" s="4" t="n"/>
      <c r="K31" s="4" t="n"/>
      <c r="L31" s="12" t="inlineStr">
        <is>
          <t>Q3-2025</t>
        </is>
      </c>
      <c r="M31" s="12" t="n">
        <v>174</v>
      </c>
    </row>
    <row r="32" ht="45" customHeight="1" s="42">
      <c r="A32" s="12" t="inlineStr">
        <is>
          <t>29362</t>
        </is>
      </c>
      <c r="B32" s="12" t="inlineStr">
        <is>
          <t>Need to investigate the reason for a P_192600 subassembly WO backflush report</t>
        </is>
      </c>
      <c r="C32" s="12" t="inlineStr">
        <is>
          <t>Closed</t>
        </is>
      </c>
      <c r="D32" s="4" t="n"/>
      <c r="E32" s="35" t="n">
        <v>45852</v>
      </c>
      <c r="F32" s="35" t="n">
        <v>45869</v>
      </c>
      <c r="G32" s="12" t="inlineStr">
        <is>
          <t>Santhosh</t>
        </is>
      </c>
      <c r="H32" s="12" t="inlineStr">
        <is>
          <t>No</t>
        </is>
      </c>
      <c r="I32" s="12" t="inlineStr">
        <is>
          <t>No</t>
        </is>
      </c>
      <c r="J32" s="4" t="n"/>
      <c r="K32" s="4" t="n"/>
      <c r="L32" s="12" t="inlineStr">
        <is>
          <t>Q3-2025</t>
        </is>
      </c>
      <c r="M32" s="12" t="n">
        <v>17</v>
      </c>
    </row>
    <row r="33" ht="30" customHeight="1" s="42">
      <c r="A33" s="12" t="inlineStr">
        <is>
          <t>30186</t>
        </is>
      </c>
      <c r="B33" s="12" t="inlineStr">
        <is>
          <t>TD102602 - wasn't in TD Awaiting  screen</t>
        </is>
      </c>
      <c r="C33" s="12" t="inlineStr">
        <is>
          <t>Closed</t>
        </is>
      </c>
      <c r="D33" s="4" t="n"/>
      <c r="E33" s="35" t="n">
        <v>45846</v>
      </c>
      <c r="F33" s="35" t="n">
        <v>45893</v>
      </c>
      <c r="G33" s="12" t="inlineStr">
        <is>
          <t>Santhosh</t>
        </is>
      </c>
      <c r="H33" s="12" t="inlineStr">
        <is>
          <t>No</t>
        </is>
      </c>
      <c r="I33" s="12" t="inlineStr">
        <is>
          <t>No</t>
        </is>
      </c>
      <c r="J33" s="4" t="n"/>
      <c r="K33" s="4" t="n"/>
      <c r="L33" s="12" t="inlineStr">
        <is>
          <t>Q3-2025</t>
        </is>
      </c>
      <c r="M33" s="12" t="n">
        <v>47</v>
      </c>
    </row>
    <row r="34" ht="45" customHeight="1" s="42">
      <c r="A34" s="12" t="inlineStr">
        <is>
          <t>30526</t>
        </is>
      </c>
      <c r="B34" s="12" t="inlineStr">
        <is>
          <t>QAD Pricing for Stock Order</t>
        </is>
      </c>
      <c r="C34" s="12" t="inlineStr">
        <is>
          <t>Closed</t>
        </is>
      </c>
      <c r="D34" s="4" t="n"/>
      <c r="E34" s="35" t="n">
        <v>45887</v>
      </c>
      <c r="F34" s="35" t="n">
        <v>45878</v>
      </c>
      <c r="G34" s="12" t="inlineStr">
        <is>
          <t>Santhosh</t>
        </is>
      </c>
      <c r="H34" s="12" t="inlineStr">
        <is>
          <t>No</t>
        </is>
      </c>
      <c r="I34" s="12" t="inlineStr">
        <is>
          <t>No</t>
        </is>
      </c>
      <c r="J34" s="4" t="n"/>
      <c r="K34" s="4" t="n"/>
      <c r="L34" s="12" t="inlineStr">
        <is>
          <t>Q3-2025</t>
        </is>
      </c>
      <c r="M34" s="12" t="n">
        <v>-9</v>
      </c>
    </row>
    <row r="35" ht="30" customHeight="1" s="42">
      <c r="A35" s="12" t="inlineStr">
        <is>
          <t>30894</t>
        </is>
      </c>
      <c r="B35" s="12" t="inlineStr">
        <is>
          <t>8/27/2025 schedules are showing incorrect status (New/Change) column</t>
        </is>
      </c>
      <c r="C35" s="12" t="inlineStr">
        <is>
          <t>In Progress-UAT</t>
        </is>
      </c>
      <c r="D35" s="4" t="n"/>
      <c r="E35" s="35" t="n">
        <v>45896</v>
      </c>
      <c r="F35" s="4" t="n"/>
      <c r="G35" s="12" t="inlineStr">
        <is>
          <t>Santhosh</t>
        </is>
      </c>
      <c r="H35" s="12" t="inlineStr">
        <is>
          <t>Yes</t>
        </is>
      </c>
      <c r="I35" s="12" t="inlineStr">
        <is>
          <t>Yes</t>
        </is>
      </c>
      <c r="J35" s="12" t="n">
        <v>50</v>
      </c>
      <c r="K35" s="12" t="n">
        <v>50</v>
      </c>
      <c r="L35" s="12" t="inlineStr">
        <is>
          <t>Q3-2025</t>
        </is>
      </c>
      <c r="M35" s="4" t="n"/>
    </row>
    <row r="36" ht="36" customHeight="1" s="42">
      <c r="A36" s="12" t="inlineStr">
        <is>
          <t>31975</t>
        </is>
      </c>
      <c r="B36" s="12" t="inlineStr">
        <is>
          <t>Need a list of all default locations setup for different part numbers in QAD under Item-Site Inventory Data Maintenance tab (1.4.16)</t>
        </is>
      </c>
      <c r="C36" s="12" t="inlineStr">
        <is>
          <t>Closed</t>
        </is>
      </c>
      <c r="D36" s="4" t="n"/>
      <c r="E36" s="35" t="n">
        <v>45926</v>
      </c>
      <c r="F36" s="35" t="n">
        <v>45929</v>
      </c>
      <c r="G36" s="12" t="inlineStr">
        <is>
          <t>Santhosh</t>
        </is>
      </c>
      <c r="H36" s="12" t="inlineStr">
        <is>
          <t>No</t>
        </is>
      </c>
      <c r="I36" s="12" t="inlineStr">
        <is>
          <t>No</t>
        </is>
      </c>
      <c r="J36" s="12" t="n">
        <v>25</v>
      </c>
      <c r="K36" s="12" t="n">
        <v>25</v>
      </c>
      <c r="L36" s="12" t="inlineStr">
        <is>
          <t>Q3-2025</t>
        </is>
      </c>
      <c r="M36" s="12" t="n">
        <v>3</v>
      </c>
    </row>
    <row r="37" ht="30" customHeight="1" s="42">
      <c r="A37" s="12" t="inlineStr">
        <is>
          <t>32434</t>
        </is>
      </c>
      <c r="B37" s="12" t="inlineStr">
        <is>
          <t>The "New/Change" column is not working properly</t>
        </is>
      </c>
      <c r="C37" s="12" t="inlineStr">
        <is>
          <t>In Progress</t>
        </is>
      </c>
      <c r="D37" s="4" t="n"/>
      <c r="E37" s="35" t="n">
        <v>45910</v>
      </c>
      <c r="F37" s="4" t="n"/>
      <c r="G37" s="12" t="inlineStr">
        <is>
          <t>Santhosh</t>
        </is>
      </c>
      <c r="H37" s="12" t="inlineStr">
        <is>
          <t>Yes</t>
        </is>
      </c>
      <c r="I37" s="12" t="inlineStr">
        <is>
          <t>Yes</t>
        </is>
      </c>
      <c r="J37" s="12" t="n">
        <v>50</v>
      </c>
      <c r="K37" s="12" t="n">
        <v>50</v>
      </c>
      <c r="L37" s="12" t="inlineStr">
        <is>
          <t>Q3-2025</t>
        </is>
      </c>
      <c r="M37" s="4" t="n"/>
    </row>
    <row r="38" ht="45" customHeight="1" s="42">
      <c r="A38" s="12" t="inlineStr">
        <is>
          <t>6492</t>
        </is>
      </c>
      <c r="B38" s="12" t="inlineStr">
        <is>
          <t>QAD Dealer payments (floorplan)</t>
        </is>
      </c>
      <c r="C38" s="12" t="inlineStr">
        <is>
          <t>Closed</t>
        </is>
      </c>
      <c r="D38" s="4" t="n"/>
      <c r="E38" s="35" t="n">
        <v>45821</v>
      </c>
      <c r="F38" s="35" t="n">
        <v>45859</v>
      </c>
      <c r="G38" s="12" t="inlineStr">
        <is>
          <t>Santhosh</t>
        </is>
      </c>
      <c r="H38" s="12" t="inlineStr">
        <is>
          <t>Yes</t>
        </is>
      </c>
      <c r="I38" s="12" t="inlineStr">
        <is>
          <t>Yes</t>
        </is>
      </c>
      <c r="J38" s="12" t="n">
        <v>15</v>
      </c>
      <c r="K38" s="12" t="n">
        <v>15</v>
      </c>
      <c r="L38" s="12" t="inlineStr">
        <is>
          <t>Q3-2025</t>
        </is>
      </c>
      <c r="M38" s="12" t="n">
        <v>38</v>
      </c>
    </row>
    <row r="39" ht="30" customHeight="1" s="42">
      <c r="A39" s="12" t="inlineStr">
        <is>
          <t>41088</t>
        </is>
      </c>
      <c r="B39" s="12" t="inlineStr">
        <is>
          <t>Price List Controls</t>
        </is>
      </c>
      <c r="C39" s="12" t="inlineStr">
        <is>
          <t>Closed</t>
        </is>
      </c>
      <c r="D39" s="4" t="n"/>
      <c r="E39" s="35" t="n">
        <v>46170</v>
      </c>
      <c r="F39" s="35" t="n">
        <v>46225</v>
      </c>
      <c r="G39" s="12" t="inlineStr">
        <is>
          <t>Santhosh</t>
        </is>
      </c>
      <c r="H39" s="12" t="inlineStr">
        <is>
          <t>Yes</t>
        </is>
      </c>
      <c r="I39" s="12" t="inlineStr">
        <is>
          <t>yES</t>
        </is>
      </c>
      <c r="J39" s="12" t="n">
        <v>40</v>
      </c>
      <c r="K39" s="12" t="n">
        <v>25</v>
      </c>
      <c r="L39" s="12" t="inlineStr">
        <is>
          <t>Q3-2026</t>
        </is>
      </c>
      <c r="M39" s="12" t="n">
        <v>55</v>
      </c>
    </row>
    <row r="40" ht="30" customHeight="1" s="42">
      <c r="A40" s="12" t="inlineStr">
        <is>
          <t>41474</t>
        </is>
      </c>
      <c r="B40" s="12" t="inlineStr">
        <is>
          <t>Please make two changes to price lists to enhance prevention of user error:</t>
        </is>
      </c>
      <c r="C40" s="12" t="inlineStr">
        <is>
          <t>Closed</t>
        </is>
      </c>
      <c r="D40" s="4" t="n"/>
      <c r="E40" s="35" t="n">
        <v>46240</v>
      </c>
      <c r="F40" s="35" t="n">
        <v>46233</v>
      </c>
      <c r="G40" s="12" t="inlineStr">
        <is>
          <t>Santhosh</t>
        </is>
      </c>
      <c r="H40" s="12" t="inlineStr">
        <is>
          <t>No</t>
        </is>
      </c>
      <c r="I40" s="12" t="inlineStr">
        <is>
          <t>Yes</t>
        </is>
      </c>
      <c r="J40" s="4" t="n">
        <v>40</v>
      </c>
      <c r="K40" s="4" t="n"/>
      <c r="L40" s="12" t="inlineStr">
        <is>
          <t>Q3-2026</t>
        </is>
      </c>
      <c r="M40" s="12" t="n">
        <v>-7</v>
      </c>
    </row>
    <row r="41" ht="30" customHeight="1" s="42">
      <c r="A41" s="12" t="inlineStr">
        <is>
          <t>41696</t>
        </is>
      </c>
      <c r="B41" s="12" t="inlineStr">
        <is>
          <t>PP PPAP PO's currently have no business process to process them</t>
        </is>
      </c>
      <c r="C41" s="12" t="inlineStr">
        <is>
          <t>Closed</t>
        </is>
      </c>
      <c r="D41" s="4" t="n"/>
      <c r="E41" s="35" t="n">
        <v>46362</v>
      </c>
      <c r="F41" s="35" t="n">
        <v>46272</v>
      </c>
      <c r="G41" s="12" t="inlineStr">
        <is>
          <t>Santhosh</t>
        </is>
      </c>
      <c r="H41" s="12" t="inlineStr">
        <is>
          <t>no</t>
        </is>
      </c>
      <c r="I41" s="12" t="inlineStr">
        <is>
          <t>No</t>
        </is>
      </c>
      <c r="J41" s="4" t="n"/>
      <c r="K41" s="4" t="n"/>
      <c r="L41" s="12" t="inlineStr">
        <is>
          <t>Q3-2026</t>
        </is>
      </c>
      <c r="M41" s="12" t="n">
        <v>-90</v>
      </c>
    </row>
    <row r="42" ht="30" customHeight="1" s="42">
      <c r="A42" s="12" t="inlineStr">
        <is>
          <t>42102</t>
        </is>
      </c>
      <c r="B42" s="12" t="inlineStr">
        <is>
          <t>Safety Stock Validation Approval Routing</t>
        </is>
      </c>
      <c r="C42" s="12" t="inlineStr">
        <is>
          <t>Closed</t>
        </is>
      </c>
      <c r="D42" s="4" t="n"/>
      <c r="E42" s="35" t="n">
        <v>46197</v>
      </c>
      <c r="F42" s="35" t="n">
        <v>46220</v>
      </c>
      <c r="G42" s="12" t="inlineStr">
        <is>
          <t>Santhosh</t>
        </is>
      </c>
      <c r="H42" s="12" t="inlineStr">
        <is>
          <t>yes</t>
        </is>
      </c>
      <c r="I42" s="12" t="inlineStr">
        <is>
          <t>Yes</t>
        </is>
      </c>
      <c r="J42" s="12" t="n">
        <v>2</v>
      </c>
      <c r="K42" s="12" t="n">
        <v>35</v>
      </c>
      <c r="L42" s="12" t="inlineStr">
        <is>
          <t>Q3-2026</t>
        </is>
      </c>
      <c r="M42" s="12" t="n">
        <v>23</v>
      </c>
    </row>
    <row r="43" ht="30" customHeight="1" s="42">
      <c r="A43" s="12" t="inlineStr">
        <is>
          <t>43624</t>
        </is>
      </c>
      <c r="B43" s="12" t="inlineStr">
        <is>
          <t>Cannot firm manually with new approval process</t>
        </is>
      </c>
      <c r="C43" s="12" t="inlineStr">
        <is>
          <t>Closed</t>
        </is>
      </c>
      <c r="D43" s="4" t="n"/>
      <c r="E43" s="35" t="n">
        <v>46150</v>
      </c>
      <c r="F43" s="35" t="n">
        <v>46259</v>
      </c>
      <c r="G43" s="12" t="inlineStr">
        <is>
          <t>Santhosh</t>
        </is>
      </c>
      <c r="H43" s="12" t="inlineStr">
        <is>
          <t>Yes</t>
        </is>
      </c>
      <c r="I43" s="12" t="inlineStr">
        <is>
          <t>Yes</t>
        </is>
      </c>
      <c r="J43" s="12" t="n">
        <v>2</v>
      </c>
      <c r="K43" s="12" t="n">
        <v>2</v>
      </c>
      <c r="L43" s="12" t="inlineStr">
        <is>
          <t>Q3-2026</t>
        </is>
      </c>
      <c r="M43" s="12" t="n">
        <v>109</v>
      </c>
    </row>
    <row r="44" ht="30" customHeight="1" s="42">
      <c r="A44" s="12" t="inlineStr">
        <is>
          <t>16797</t>
        </is>
      </c>
      <c r="B44" s="12" t="inlineStr">
        <is>
          <t>Auto-Consume DC Dash Inventory On Receipt of P_</t>
        </is>
      </c>
      <c r="C44" s="12" t="inlineStr">
        <is>
          <t>In Progress-User</t>
        </is>
      </c>
      <c r="D44" s="4" t="n"/>
      <c r="E44" s="35" t="n">
        <v>45580</v>
      </c>
      <c r="F44" s="4" t="n"/>
      <c r="G44" s="12" t="inlineStr">
        <is>
          <t>Santhosh</t>
        </is>
      </c>
      <c r="H44" s="4" t="n"/>
      <c r="I44" s="12" t="inlineStr">
        <is>
          <t>No</t>
        </is>
      </c>
      <c r="J44" s="4" t="n"/>
      <c r="K44" s="4" t="n"/>
      <c r="L44" s="12" t="inlineStr">
        <is>
          <t>Q3-2026</t>
        </is>
      </c>
      <c r="M44" s="4" t="n"/>
    </row>
    <row r="45" ht="45" customHeight="1" s="42">
      <c r="A45" s="12" t="inlineStr">
        <is>
          <t>16445</t>
        </is>
      </c>
      <c r="B45" s="12" t="inlineStr">
        <is>
          <t>Stock Up Orders Report Status</t>
        </is>
      </c>
      <c r="C45" s="12" t="inlineStr">
        <is>
          <t>Closed</t>
        </is>
      </c>
      <c r="D45" s="4" t="n"/>
      <c r="E45" s="35" t="n">
        <v>45514</v>
      </c>
      <c r="F45" s="35" t="n">
        <v>46000</v>
      </c>
      <c r="G45" s="12" t="inlineStr">
        <is>
          <t>Santhosh</t>
        </is>
      </c>
      <c r="H45" s="12" t="inlineStr">
        <is>
          <t>No</t>
        </is>
      </c>
      <c r="I45" s="12" t="inlineStr">
        <is>
          <t>No</t>
        </is>
      </c>
      <c r="J45" s="4" t="n"/>
      <c r="K45" s="4" t="n"/>
      <c r="L45" s="12" t="inlineStr">
        <is>
          <t>Q4-2025</t>
        </is>
      </c>
      <c r="M45" s="12" t="n">
        <v>486</v>
      </c>
    </row>
    <row r="46" ht="30" customHeight="1" s="42">
      <c r="A46" s="12" t="inlineStr">
        <is>
          <t>25685</t>
        </is>
      </c>
      <c r="B46" s="12" t="inlineStr">
        <is>
          <t>Cum Received On Supplier Schedule Download</t>
        </is>
      </c>
      <c r="C46" s="12" t="inlineStr">
        <is>
          <t>In Progress-UAT</t>
        </is>
      </c>
      <c r="D46" s="4" t="n"/>
      <c r="E46" s="35" t="n">
        <v>45934</v>
      </c>
      <c r="F46" s="4" t="n"/>
      <c r="G46" s="12" t="inlineStr">
        <is>
          <t>Santhosh</t>
        </is>
      </c>
      <c r="H46" s="12" t="inlineStr">
        <is>
          <t>Yes</t>
        </is>
      </c>
      <c r="I46" s="12" t="inlineStr">
        <is>
          <t>yes</t>
        </is>
      </c>
      <c r="J46" s="12" t="n">
        <v>15</v>
      </c>
      <c r="K46" s="12" t="n">
        <v>15</v>
      </c>
      <c r="L46" s="12" t="inlineStr">
        <is>
          <t>Q3-2026</t>
        </is>
      </c>
      <c r="M46" s="4" t="n"/>
    </row>
    <row r="47" ht="30" customHeight="1" s="42">
      <c r="A47" s="12" t="inlineStr">
        <is>
          <t>28877</t>
        </is>
      </c>
      <c r="B47" s="12" t="inlineStr">
        <is>
          <t>DC Kayne orders</t>
        </is>
      </c>
      <c r="C47" s="12" t="inlineStr">
        <is>
          <t>Closed</t>
        </is>
      </c>
      <c r="D47" s="4" t="n"/>
      <c r="E47" s="35" t="n">
        <v>45838</v>
      </c>
      <c r="F47" s="35" t="n">
        <v>45998</v>
      </c>
      <c r="G47" s="12" t="inlineStr">
        <is>
          <t>Santhosh</t>
        </is>
      </c>
      <c r="H47" s="12" t="inlineStr">
        <is>
          <t>No</t>
        </is>
      </c>
      <c r="I47" s="12" t="inlineStr">
        <is>
          <t>yes</t>
        </is>
      </c>
      <c r="J47" s="12" t="n">
        <v>20</v>
      </c>
      <c r="K47" s="12" t="n">
        <v>20</v>
      </c>
      <c r="L47" s="12" t="inlineStr">
        <is>
          <t>Q4-2025</t>
        </is>
      </c>
      <c r="M47" s="12" t="n">
        <v>160</v>
      </c>
    </row>
    <row r="48" ht="60" customHeight="1" s="42">
      <c r="A48" s="12" t="inlineStr">
        <is>
          <t>30229</t>
        </is>
      </c>
      <c r="B48" s="12" t="inlineStr">
        <is>
          <t>Autocar stock orders potential issue</t>
        </is>
      </c>
      <c r="C48" s="12" t="inlineStr">
        <is>
          <t>Closed</t>
        </is>
      </c>
      <c r="D48" s="4" t="n"/>
      <c r="E48" s="35" t="n">
        <v>45877</v>
      </c>
      <c r="F48" s="35" t="n">
        <v>45973</v>
      </c>
      <c r="G48" s="12" t="inlineStr">
        <is>
          <t>Santhosh</t>
        </is>
      </c>
      <c r="H48" s="12" t="inlineStr">
        <is>
          <t>No</t>
        </is>
      </c>
      <c r="I48" s="12" t="inlineStr">
        <is>
          <t>No</t>
        </is>
      </c>
      <c r="J48" s="4" t="n"/>
      <c r="K48" s="4" t="n"/>
      <c r="L48" s="12" t="inlineStr">
        <is>
          <t>Q4-2025</t>
        </is>
      </c>
      <c r="M48" s="12" t="n">
        <v>96</v>
      </c>
    </row>
    <row r="49" ht="30" customHeight="1" s="42">
      <c r="A49" s="12" t="inlineStr">
        <is>
          <t>30333</t>
        </is>
      </c>
      <c r="B49" s="12" t="inlineStr">
        <is>
          <t>SCAR supplier scorecard not collecting data</t>
        </is>
      </c>
      <c r="C49" s="12" t="inlineStr">
        <is>
          <t>Closed</t>
        </is>
      </c>
      <c r="D49" s="4" t="n"/>
      <c r="E49" s="35" t="n">
        <v>45999</v>
      </c>
      <c r="F49" s="35" t="n">
        <v>45977</v>
      </c>
      <c r="G49" s="12" t="inlineStr">
        <is>
          <t>Santhosh</t>
        </is>
      </c>
      <c r="H49" s="12" t="inlineStr">
        <is>
          <t>No</t>
        </is>
      </c>
      <c r="I49" s="12" t="inlineStr">
        <is>
          <t>No</t>
        </is>
      </c>
      <c r="J49" s="4" t="n"/>
      <c r="K49" s="4" t="n"/>
      <c r="L49" s="12" t="inlineStr">
        <is>
          <t>Q4-2025</t>
        </is>
      </c>
      <c r="M49" s="12" t="n">
        <v>-22</v>
      </c>
    </row>
    <row r="50" ht="30" customHeight="1" s="42">
      <c r="A50" s="12" t="inlineStr">
        <is>
          <t>31703</t>
        </is>
      </c>
      <c r="B50" s="12" t="inlineStr">
        <is>
          <t>Work Order Cost Report Error - Brian Lowe</t>
        </is>
      </c>
      <c r="C50" s="12" t="inlineStr">
        <is>
          <t>Closed</t>
        </is>
      </c>
      <c r="D50" s="4" t="n"/>
      <c r="E50" s="35" t="n">
        <v>45918</v>
      </c>
      <c r="F50" s="35" t="n">
        <v>45973</v>
      </c>
      <c r="G50" s="12" t="inlineStr">
        <is>
          <t>Santhosh</t>
        </is>
      </c>
      <c r="H50" s="12" t="inlineStr">
        <is>
          <t>No</t>
        </is>
      </c>
      <c r="I50" s="12" t="inlineStr">
        <is>
          <t>No</t>
        </is>
      </c>
      <c r="J50" s="4" t="n"/>
      <c r="K50" s="4" t="n"/>
      <c r="L50" s="12" t="inlineStr">
        <is>
          <t>Q4-2025</t>
        </is>
      </c>
      <c r="M50" s="12" t="n">
        <v>55</v>
      </c>
    </row>
    <row r="51" ht="30" customHeight="1" s="42">
      <c r="A51" s="12" t="inlineStr">
        <is>
          <t>32247</t>
        </is>
      </c>
      <c r="B51" s="12" t="inlineStr">
        <is>
          <t>Load unregistered suppliers to measure supplier performance.</t>
        </is>
      </c>
      <c r="C51" s="12" t="inlineStr">
        <is>
          <t>Closed</t>
        </is>
      </c>
      <c r="D51" s="4" t="n"/>
      <c r="E51" s="35" t="n">
        <v>45726</v>
      </c>
      <c r="F51" s="35" t="n">
        <v>45956</v>
      </c>
      <c r="G51" s="12" t="inlineStr">
        <is>
          <t>Santhosh</t>
        </is>
      </c>
      <c r="H51" s="12" t="inlineStr">
        <is>
          <t>No</t>
        </is>
      </c>
      <c r="I51" s="12" t="inlineStr">
        <is>
          <t>No</t>
        </is>
      </c>
      <c r="J51" s="4" t="n"/>
      <c r="K51" s="4" t="n"/>
      <c r="L51" s="12" t="inlineStr">
        <is>
          <t>Q4-2025</t>
        </is>
      </c>
      <c r="M51" s="12" t="n">
        <v>230</v>
      </c>
    </row>
    <row r="52">
      <c r="A52" s="12" t="inlineStr">
        <is>
          <t>33331</t>
        </is>
      </c>
      <c r="B52" s="12" t="inlineStr">
        <is>
          <t>WP097396.</t>
        </is>
      </c>
      <c r="C52" s="12" t="inlineStr">
        <is>
          <t>Closed</t>
        </is>
      </c>
      <c r="D52" s="4" t="n"/>
      <c r="E52" s="35" t="n">
        <v>45758</v>
      </c>
      <c r="F52" s="35" t="n">
        <v>45990</v>
      </c>
      <c r="G52" s="12" t="inlineStr">
        <is>
          <t>Santhosh</t>
        </is>
      </c>
      <c r="H52" s="12" t="inlineStr">
        <is>
          <t>No</t>
        </is>
      </c>
      <c r="I52" s="12" t="inlineStr">
        <is>
          <t>No</t>
        </is>
      </c>
      <c r="J52" s="4" t="n"/>
      <c r="K52" s="4" t="n"/>
      <c r="L52" s="12" t="inlineStr">
        <is>
          <t>Q4-2025</t>
        </is>
      </c>
      <c r="M52" s="12" t="n">
        <v>232</v>
      </c>
    </row>
    <row r="53" ht="30" customHeight="1" s="42">
      <c r="A53" s="12" t="inlineStr">
        <is>
          <t>33944</t>
        </is>
      </c>
      <c r="B53" s="12" t="inlineStr">
        <is>
          <t>Stock Order Problem</t>
        </is>
      </c>
      <c r="C53" s="12" t="inlineStr">
        <is>
          <t>Closed</t>
        </is>
      </c>
      <c r="D53" s="4" t="n"/>
      <c r="E53" s="35" t="n">
        <v>45986</v>
      </c>
      <c r="F53" s="35" t="n">
        <v>46003</v>
      </c>
      <c r="G53" s="12" t="inlineStr">
        <is>
          <t>Santhosh</t>
        </is>
      </c>
      <c r="H53" s="12" t="inlineStr">
        <is>
          <t>No</t>
        </is>
      </c>
      <c r="I53" s="12" t="inlineStr">
        <is>
          <t>No</t>
        </is>
      </c>
      <c r="J53" s="4" t="n"/>
      <c r="K53" s="4" t="n"/>
      <c r="L53" s="12" t="inlineStr">
        <is>
          <t>Q4-2025</t>
        </is>
      </c>
      <c r="M53" s="12" t="n">
        <v>17</v>
      </c>
    </row>
    <row r="54" ht="30" customHeight="1" s="42">
      <c r="A54" s="12" t="inlineStr">
        <is>
          <t>45359</t>
        </is>
      </c>
      <c r="B54" s="12" t="inlineStr">
        <is>
          <t>Sales Order Not Found</t>
        </is>
      </c>
      <c r="C54" s="12" t="inlineStr">
        <is>
          <t>Closed</t>
        </is>
      </c>
      <c r="D54" s="4" t="n"/>
      <c r="E54" s="35" t="n"/>
      <c r="F54" s="35" t="n"/>
      <c r="G54" s="12" t="inlineStr">
        <is>
          <t>Santhosh</t>
        </is>
      </c>
      <c r="H54" s="12" t="n"/>
      <c r="I54" s="12" t="n"/>
      <c r="J54" s="4" t="n"/>
      <c r="K54" s="4" t="n"/>
      <c r="L54" s="12" t="inlineStr">
        <is>
          <t>Q3-2026</t>
        </is>
      </c>
      <c r="M54" s="12" t="n"/>
    </row>
    <row r="55" ht="30" customHeight="1" s="42">
      <c r="A55" s="12" t="inlineStr">
        <is>
          <t>43681</t>
        </is>
      </c>
      <c r="B55" s="12" t="inlineStr">
        <is>
          <t>Item Planning upload error</t>
        </is>
      </c>
      <c r="C55" s="12" t="inlineStr">
        <is>
          <t>Closed</t>
        </is>
      </c>
      <c r="D55" s="4" t="n"/>
      <c r="E55" s="35" t="n"/>
      <c r="F55" s="35" t="n"/>
      <c r="G55" s="12" t="inlineStr">
        <is>
          <t>Sunder</t>
        </is>
      </c>
      <c r="H55" s="12" t="n"/>
      <c r="I55" s="12" t="inlineStr">
        <is>
          <t>Yes</t>
        </is>
      </c>
      <c r="J55" s="4" t="n">
        <v>12</v>
      </c>
      <c r="K55" s="4" t="n"/>
      <c r="L55" s="12" t="inlineStr">
        <is>
          <t>Q3-2026</t>
        </is>
      </c>
      <c r="M55" s="12" t="n"/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Q2-2025 — ticket evidence pack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45" customHeight="1" s="42">
      <c r="A6" s="12" t="inlineStr">
        <is>
          <t>23418</t>
        </is>
      </c>
      <c r="B6" s="12" t="inlineStr">
        <is>
          <t>Manufacturing lead time - Axles</t>
        </is>
      </c>
      <c r="C6" s="12" t="inlineStr">
        <is>
          <t>Closed</t>
        </is>
      </c>
      <c r="D6" s="4" t="n"/>
      <c r="E6" s="38" t="n">
        <v>45750</v>
      </c>
      <c r="F6" s="38" t="n">
        <v>45755</v>
      </c>
      <c r="G6" s="12" t="inlineStr">
        <is>
          <t>Santhosh</t>
        </is>
      </c>
      <c r="H6" s="4" t="n"/>
      <c r="I6" s="4" t="n"/>
      <c r="J6" s="4" t="n"/>
      <c r="K6" s="4" t="n"/>
      <c r="L6" s="12" t="inlineStr">
        <is>
          <t>Q2-2025</t>
        </is>
      </c>
      <c r="M6" s="12" t="n">
        <v>5</v>
      </c>
    </row>
    <row r="7" ht="45" customHeight="1" s="42">
      <c r="A7" s="12" t="inlineStr">
        <is>
          <t>3749</t>
        </is>
      </c>
      <c r="B7" s="12" t="inlineStr">
        <is>
          <t>QAD: Deemed Inactive Supplier</t>
        </is>
      </c>
      <c r="C7" s="12" t="inlineStr">
        <is>
          <t>Closed</t>
        </is>
      </c>
      <c r="D7" s="4" t="n"/>
      <c r="E7" s="38" t="n">
        <v>45055</v>
      </c>
      <c r="F7" s="38" t="n">
        <v>45757</v>
      </c>
      <c r="G7" s="12" t="inlineStr">
        <is>
          <t>Santhosh</t>
        </is>
      </c>
      <c r="H7" s="12" t="inlineStr">
        <is>
          <t>yes</t>
        </is>
      </c>
      <c r="I7" s="12" t="inlineStr">
        <is>
          <t>Yes</t>
        </is>
      </c>
      <c r="J7" s="12" t="n">
        <v>25</v>
      </c>
      <c r="K7" s="12" t="n">
        <v>25</v>
      </c>
      <c r="L7" s="12" t="inlineStr">
        <is>
          <t>Q2-2025</t>
        </is>
      </c>
      <c r="M7" s="12" t="n">
        <v>702</v>
      </c>
    </row>
    <row r="8" ht="30" customHeight="1" s="42">
      <c r="A8" s="12" t="n">
        <v>12198</v>
      </c>
      <c r="B8" s="12" t="inlineStr">
        <is>
          <t>Supplier Schedule file shows both items AND NO Requirement</t>
        </is>
      </c>
      <c r="C8" s="12" t="inlineStr">
        <is>
          <t>Closed</t>
        </is>
      </c>
      <c r="D8" s="4" t="n"/>
      <c r="E8" s="38" t="n">
        <v>45874</v>
      </c>
      <c r="F8" s="38" t="n">
        <v>45795</v>
      </c>
      <c r="G8" s="12" t="inlineStr">
        <is>
          <t>Santhosh</t>
        </is>
      </c>
      <c r="H8" s="12" t="inlineStr">
        <is>
          <t>No</t>
        </is>
      </c>
      <c r="I8" s="12" t="inlineStr">
        <is>
          <t>No</t>
        </is>
      </c>
      <c r="J8" s="4" t="n"/>
      <c r="K8" s="4" t="n"/>
      <c r="L8" s="12" t="inlineStr">
        <is>
          <t>Q2-2025</t>
        </is>
      </c>
      <c r="M8" s="12" t="n">
        <v>-79</v>
      </c>
    </row>
    <row r="9" ht="45" customHeight="1" s="42">
      <c r="A9" s="12" t="inlineStr">
        <is>
          <t>19123</t>
        </is>
      </c>
      <c r="B9" s="12" t="inlineStr">
        <is>
          <t>a2350817-001 with -10 at Non-net</t>
        </is>
      </c>
      <c r="C9" s="12" t="inlineStr">
        <is>
          <t>Closed</t>
        </is>
      </c>
      <c r="D9" s="4" t="n"/>
      <c r="E9" s="38" t="n">
        <v>45905</v>
      </c>
      <c r="F9" s="38" t="n">
        <v>45796</v>
      </c>
      <c r="G9" s="12" t="inlineStr">
        <is>
          <t>Santhosh</t>
        </is>
      </c>
      <c r="H9" s="12" t="inlineStr">
        <is>
          <t>No</t>
        </is>
      </c>
      <c r="I9" s="12" t="inlineStr">
        <is>
          <t>No</t>
        </is>
      </c>
      <c r="J9" s="4" t="n"/>
      <c r="K9" s="4" t="n"/>
      <c r="L9" s="12" t="inlineStr">
        <is>
          <t>Q2-2025</t>
        </is>
      </c>
      <c r="M9" s="12" t="n">
        <v>-109</v>
      </c>
    </row>
    <row r="10" ht="30" customHeight="1" s="42">
      <c r="A10" s="12" t="inlineStr">
        <is>
          <t>18167</t>
        </is>
      </c>
      <c r="B10" s="12" t="inlineStr">
        <is>
          <t>PARTS ADDED TO SS.xlsx Need additional columns</t>
        </is>
      </c>
      <c r="C10" s="12" t="inlineStr">
        <is>
          <t>Closed</t>
        </is>
      </c>
      <c r="D10" s="4" t="n"/>
      <c r="E10" s="38" t="n">
        <v>45609</v>
      </c>
      <c r="F10" s="38" t="n">
        <v>45815</v>
      </c>
      <c r="G10" s="12" t="inlineStr">
        <is>
          <t>Santhosh</t>
        </is>
      </c>
      <c r="H10" s="12" t="inlineStr">
        <is>
          <t>Yes</t>
        </is>
      </c>
      <c r="I10" s="12" t="inlineStr">
        <is>
          <t>Yes</t>
        </is>
      </c>
      <c r="J10" s="12" t="n">
        <v>2</v>
      </c>
      <c r="K10" s="12" t="n">
        <v>2</v>
      </c>
      <c r="L10" s="12" t="inlineStr">
        <is>
          <t>Q2-2025</t>
        </is>
      </c>
      <c r="M10" s="12" t="n">
        <v>206</v>
      </c>
    </row>
    <row r="11" ht="30" customHeight="1" s="42">
      <c r="A11" s="12" t="inlineStr">
        <is>
          <t>26465</t>
        </is>
      </c>
      <c r="B11" s="12" t="inlineStr">
        <is>
          <t>Recording user ID when changing parameters via upload utilities</t>
        </is>
      </c>
      <c r="C11" s="12" t="inlineStr">
        <is>
          <t>Closed</t>
        </is>
      </c>
      <c r="D11" s="4" t="n"/>
      <c r="E11" s="38" t="n">
        <v>45777</v>
      </c>
      <c r="F11" s="38" t="n">
        <v>45830</v>
      </c>
      <c r="G11" s="12" t="inlineStr">
        <is>
          <t>Santhosh</t>
        </is>
      </c>
      <c r="H11" s="12" t="inlineStr">
        <is>
          <t>Yes</t>
        </is>
      </c>
      <c r="I11" s="12" t="inlineStr">
        <is>
          <t>Yes</t>
        </is>
      </c>
      <c r="J11" s="12" t="n">
        <v>30</v>
      </c>
      <c r="K11" s="12" t="n">
        <v>30</v>
      </c>
      <c r="L11" s="12" t="inlineStr">
        <is>
          <t>Q2-2025</t>
        </is>
      </c>
      <c r="M11" s="12" t="n">
        <v>53</v>
      </c>
    </row>
    <row r="12" ht="30" customHeight="1" s="42">
      <c r="A12" s="12" t="inlineStr">
        <is>
          <t>20742</t>
        </is>
      </c>
      <c r="B12" s="12" t="inlineStr">
        <is>
          <t>Automated Cancellation Report - request for cancelled trucks</t>
        </is>
      </c>
      <c r="C12" s="12" t="inlineStr">
        <is>
          <t>Closed</t>
        </is>
      </c>
      <c r="D12" s="4" t="n"/>
      <c r="E12" s="38" t="n">
        <v>45796</v>
      </c>
      <c r="F12" s="38" t="n">
        <v>45831</v>
      </c>
      <c r="G12" s="12" t="inlineStr">
        <is>
          <t>Santhosh</t>
        </is>
      </c>
      <c r="H12" s="12" t="inlineStr">
        <is>
          <t>No</t>
        </is>
      </c>
      <c r="I12" s="12" t="inlineStr">
        <is>
          <t>No</t>
        </is>
      </c>
      <c r="J12" s="4" t="n"/>
      <c r="K12" s="4" t="n"/>
      <c r="L12" s="12" t="inlineStr">
        <is>
          <t>Q2-2025</t>
        </is>
      </c>
      <c r="M12" s="12" t="n">
        <v>35</v>
      </c>
    </row>
    <row r="13" ht="36" customHeight="1" s="42">
      <c r="A13" s="12" t="inlineStr">
        <is>
          <t>25883</t>
        </is>
      </c>
      <c r="B13" s="12" t="inlineStr">
        <is>
          <t>QAD - Need an excel report showing item number, site 4000, and W locations from the Item-Site Inventory Data tab</t>
        </is>
      </c>
      <c r="C13" s="12" t="inlineStr">
        <is>
          <t>Closed</t>
        </is>
      </c>
      <c r="D13" s="4" t="n"/>
      <c r="E13" s="38" t="n">
        <v>45762</v>
      </c>
      <c r="F13" s="38" t="n">
        <v>45836</v>
      </c>
      <c r="G13" s="12" t="inlineStr">
        <is>
          <t>Santhosh</t>
        </is>
      </c>
      <c r="H13" s="12" t="inlineStr">
        <is>
          <t>No</t>
        </is>
      </c>
      <c r="I13" s="12" t="inlineStr">
        <is>
          <t>Yes</t>
        </is>
      </c>
      <c r="J13" s="4" t="n"/>
      <c r="K13" s="12" t="n">
        <v>25</v>
      </c>
      <c r="L13" s="12" t="inlineStr">
        <is>
          <t>Q2-2025</t>
        </is>
      </c>
      <c r="M13" s="12" t="n">
        <v>74</v>
      </c>
    </row>
    <row r="14" ht="30" customHeight="1" s="42">
      <c r="A14" s="12" t="inlineStr">
        <is>
          <t>26149</t>
        </is>
      </c>
      <c r="B14" s="12" t="inlineStr">
        <is>
          <t>2025 04 23 Trident Weekly schedules.xlsx</t>
        </is>
      </c>
      <c r="C14" s="12" t="inlineStr">
        <is>
          <t>In Progress-UAT</t>
        </is>
      </c>
      <c r="D14" s="4" t="n"/>
      <c r="E14" s="38" t="n">
        <v>45770</v>
      </c>
      <c r="F14" s="4" t="n"/>
      <c r="G14" s="12" t="inlineStr">
        <is>
          <t>Santhosh</t>
        </is>
      </c>
      <c r="H14" s="12" t="inlineStr">
        <is>
          <t>Yes</t>
        </is>
      </c>
      <c r="I14" s="12" t="inlineStr">
        <is>
          <t>Yes</t>
        </is>
      </c>
      <c r="J14" s="12" t="n">
        <v>50</v>
      </c>
      <c r="K14" s="12" t="n">
        <v>50</v>
      </c>
      <c r="L14" s="12" t="inlineStr">
        <is>
          <t>Q2-2025</t>
        </is>
      </c>
      <c r="M14" s="4" t="n"/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Q2-2025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9</v>
      </c>
    </row>
    <row r="7" ht="30" customHeight="1" s="42">
      <c r="A7" s="12" t="inlineStr">
        <is>
          <t>Closed/Resolved</t>
        </is>
      </c>
      <c r="B7" s="12" t="n">
        <v>8</v>
      </c>
      <c r="C7" s="39" t="inlineStr">
        <is>
          <t>No</t>
        </is>
      </c>
    </row>
    <row r="8">
      <c r="A8" s="12" t="inlineStr">
        <is>
          <t>Open / spill</t>
        </is>
      </c>
      <c r="B8" s="12" t="n">
        <v>1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11.1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5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4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107</v>
      </c>
    </row>
    <row r="13">
      <c r="A13" s="12" t="inlineStr">
        <is>
          <t>SQL Lines</t>
        </is>
      </c>
      <c r="B13" s="12" t="n">
        <v>132</v>
      </c>
    </row>
    <row r="14" ht="30" customHeight="1" s="42">
      <c r="A14" s="12" t="inlineStr">
        <is>
          <t>Avg Cycle Days</t>
        </is>
      </c>
      <c r="B14" s="12" t="n">
        <v>110.9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0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1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Q3-2025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75" customHeight="1" s="42">
      <c r="A6" s="13" t="inlineStr">
        <is>
          <t>14119</t>
        </is>
      </c>
      <c r="B6" s="13" t="inlineStr">
        <is>
          <t>Floor plan reimbursement improvements</t>
        </is>
      </c>
      <c r="C6" s="13" t="inlineStr">
        <is>
          <t>Closed</t>
        </is>
      </c>
      <c r="D6" s="8" t="n"/>
      <c r="E6" s="40" t="n">
        <v>45526</v>
      </c>
      <c r="F6" s="40" t="n">
        <v>45845</v>
      </c>
      <c r="G6" s="13" t="inlineStr">
        <is>
          <t>Santhosh</t>
        </is>
      </c>
      <c r="H6" s="13" t="inlineStr">
        <is>
          <t>Yes</t>
        </is>
      </c>
      <c r="I6" s="13" t="inlineStr">
        <is>
          <t>yes</t>
        </is>
      </c>
      <c r="J6" s="13" t="n">
        <v>5</v>
      </c>
      <c r="K6" s="13" t="n">
        <v>2</v>
      </c>
      <c r="L6" s="13" t="inlineStr">
        <is>
          <t>Q3-2025</t>
        </is>
      </c>
      <c r="M6" s="13" t="n">
        <v>319</v>
      </c>
    </row>
    <row r="7" ht="120" customHeight="1" s="42">
      <c r="A7" s="13" t="inlineStr">
        <is>
          <t>27434</t>
        </is>
      </c>
      <c r="B7" s="13" t="inlineStr">
        <is>
          <t>QAD Action Message Browse displays incorrect Supplier Code and Sort Name</t>
        </is>
      </c>
      <c r="C7" s="13" t="inlineStr">
        <is>
          <t>Closed</t>
        </is>
      </c>
      <c r="D7" s="8" t="n"/>
      <c r="E7" s="40" t="n">
        <v>45799</v>
      </c>
      <c r="F7" s="40" t="n">
        <v>45887</v>
      </c>
      <c r="G7" s="13" t="inlineStr">
        <is>
          <t>Santhosh</t>
        </is>
      </c>
      <c r="H7" s="13" t="inlineStr">
        <is>
          <t>No</t>
        </is>
      </c>
      <c r="I7" s="13" t="inlineStr">
        <is>
          <t>No</t>
        </is>
      </c>
      <c r="J7" s="8" t="n"/>
      <c r="K7" s="8" t="n"/>
      <c r="L7" s="13" t="inlineStr">
        <is>
          <t>Q3-2025</t>
        </is>
      </c>
      <c r="M7" s="13" t="n">
        <v>88</v>
      </c>
    </row>
    <row r="8" ht="105" customHeight="1" s="42">
      <c r="A8" s="13" t="inlineStr">
        <is>
          <t>28646</t>
        </is>
      </c>
      <c r="B8" s="13" t="inlineStr">
        <is>
          <t>Supplier portal comparison with previous week schedule on the .csv file</t>
        </is>
      </c>
      <c r="C8" s="13" t="inlineStr">
        <is>
          <t>Closed</t>
        </is>
      </c>
      <c r="D8" s="8" t="n"/>
      <c r="E8" s="40" t="n">
        <v>45831</v>
      </c>
      <c r="F8" s="40" t="n">
        <v>45915</v>
      </c>
      <c r="G8" s="13" t="inlineStr">
        <is>
          <t>Santhosh</t>
        </is>
      </c>
      <c r="H8" s="13" t="inlineStr">
        <is>
          <t>Yes</t>
        </is>
      </c>
      <c r="I8" s="13" t="inlineStr">
        <is>
          <t>yes</t>
        </is>
      </c>
      <c r="J8" s="13" t="n">
        <v>50</v>
      </c>
      <c r="K8" s="13" t="n">
        <v>50</v>
      </c>
      <c r="L8" s="13" t="inlineStr">
        <is>
          <t>Q3-2025</t>
        </is>
      </c>
      <c r="M8" s="13" t="n">
        <v>84</v>
      </c>
    </row>
    <row r="9" ht="105" customHeight="1" s="42">
      <c r="A9" s="13" t="inlineStr">
        <is>
          <t>28961</t>
        </is>
      </c>
      <c r="B9" s="13" t="inlineStr">
        <is>
          <t>PO 119997 VO 1776533 - Using Wrong PO Price on VO - Bogus Variance Postings</t>
        </is>
      </c>
      <c r="C9" s="13" t="inlineStr">
        <is>
          <t>Closed</t>
        </is>
      </c>
      <c r="D9" s="8" t="n"/>
      <c r="E9" s="40" t="n">
        <v>45695</v>
      </c>
      <c r="F9" s="40" t="n">
        <v>45869</v>
      </c>
      <c r="G9" s="13" t="inlineStr">
        <is>
          <t>Santhosh</t>
        </is>
      </c>
      <c r="H9" s="13" t="inlineStr">
        <is>
          <t>No</t>
        </is>
      </c>
      <c r="I9" s="13" t="inlineStr">
        <is>
          <t>NO</t>
        </is>
      </c>
      <c r="J9" s="8" t="n"/>
      <c r="K9" s="8" t="n"/>
      <c r="L9" s="13" t="inlineStr">
        <is>
          <t>Q3-2025</t>
        </is>
      </c>
      <c r="M9" s="13" t="n">
        <v>174</v>
      </c>
    </row>
    <row r="10" ht="105" customHeight="1" s="42">
      <c r="A10" s="13" t="inlineStr">
        <is>
          <t>29362</t>
        </is>
      </c>
      <c r="B10" s="13" t="inlineStr">
        <is>
          <t>Need to investigate the reason for a P_192600 subassembly WO backflush report</t>
        </is>
      </c>
      <c r="C10" s="13" t="inlineStr">
        <is>
          <t>Closed</t>
        </is>
      </c>
      <c r="D10" s="8" t="n"/>
      <c r="E10" s="40" t="n">
        <v>45852</v>
      </c>
      <c r="F10" s="40" t="n">
        <v>45869</v>
      </c>
      <c r="G10" s="13" t="inlineStr">
        <is>
          <t>Santhosh</t>
        </is>
      </c>
      <c r="H10" s="13" t="inlineStr">
        <is>
          <t>No</t>
        </is>
      </c>
      <c r="I10" s="13" t="inlineStr">
        <is>
          <t>No</t>
        </is>
      </c>
      <c r="J10" s="8" t="n"/>
      <c r="K10" s="8" t="n"/>
      <c r="L10" s="13" t="inlineStr">
        <is>
          <t>Q3-2025</t>
        </is>
      </c>
      <c r="M10" s="13" t="n">
        <v>17</v>
      </c>
    </row>
    <row r="11" ht="60" customHeight="1" s="42">
      <c r="A11" s="13" t="inlineStr">
        <is>
          <t>30186</t>
        </is>
      </c>
      <c r="B11" s="13" t="inlineStr">
        <is>
          <t>TD102602 - wasn't in TD Awaiting  screen</t>
        </is>
      </c>
      <c r="C11" s="13" t="inlineStr">
        <is>
          <t>Closed</t>
        </is>
      </c>
      <c r="D11" s="8" t="n"/>
      <c r="E11" s="40" t="n">
        <v>45846</v>
      </c>
      <c r="F11" s="40" t="n">
        <v>45893</v>
      </c>
      <c r="G11" s="13" t="inlineStr">
        <is>
          <t>Santhosh</t>
        </is>
      </c>
      <c r="H11" s="13" t="inlineStr">
        <is>
          <t>No</t>
        </is>
      </c>
      <c r="I11" s="13" t="inlineStr">
        <is>
          <t>No</t>
        </is>
      </c>
      <c r="J11" s="8" t="n"/>
      <c r="K11" s="8" t="n"/>
      <c r="L11" s="13" t="inlineStr">
        <is>
          <t>Q3-2025</t>
        </is>
      </c>
      <c r="M11" s="13" t="n">
        <v>47</v>
      </c>
    </row>
    <row r="12" ht="45" customHeight="1" s="42">
      <c r="A12" s="13" t="inlineStr">
        <is>
          <t>30526</t>
        </is>
      </c>
      <c r="B12" s="13" t="inlineStr">
        <is>
          <t>QAD Pricing for Stock Order</t>
        </is>
      </c>
      <c r="C12" s="13" t="inlineStr">
        <is>
          <t>Closed</t>
        </is>
      </c>
      <c r="D12" s="8" t="n"/>
      <c r="E12" s="40" t="n">
        <v>45887</v>
      </c>
      <c r="F12" s="40" t="n">
        <v>45878</v>
      </c>
      <c r="G12" s="13" t="inlineStr">
        <is>
          <t>Santhosh</t>
        </is>
      </c>
      <c r="H12" s="13" t="inlineStr">
        <is>
          <t>No</t>
        </is>
      </c>
      <c r="I12" s="13" t="inlineStr">
        <is>
          <t>No</t>
        </is>
      </c>
      <c r="J12" s="8" t="n"/>
      <c r="K12" s="8" t="n"/>
      <c r="L12" s="13" t="inlineStr">
        <is>
          <t>Q3-2025</t>
        </is>
      </c>
      <c r="M12" s="13" t="n">
        <v>-9</v>
      </c>
    </row>
    <row r="13" ht="105" customHeight="1" s="42">
      <c r="A13" s="13" t="inlineStr">
        <is>
          <t>30894</t>
        </is>
      </c>
      <c r="B13" s="13" t="inlineStr">
        <is>
          <t>8/27/2025 schedules are showing incorrect status (New/Change) column</t>
        </is>
      </c>
      <c r="C13" s="13" t="inlineStr">
        <is>
          <t>In Progress-UAT</t>
        </is>
      </c>
      <c r="D13" s="8" t="n"/>
      <c r="E13" s="40" t="n">
        <v>45896</v>
      </c>
      <c r="F13" s="8" t="n"/>
      <c r="G13" s="13" t="inlineStr">
        <is>
          <t>Santhosh</t>
        </is>
      </c>
      <c r="H13" s="13" t="inlineStr">
        <is>
          <t>Yes</t>
        </is>
      </c>
      <c r="I13" s="13" t="inlineStr">
        <is>
          <t>Yes</t>
        </is>
      </c>
      <c r="J13" s="13" t="n">
        <v>50</v>
      </c>
      <c r="K13" s="13" t="n">
        <v>50</v>
      </c>
      <c r="L13" s="13" t="inlineStr">
        <is>
          <t>Q3-2025</t>
        </is>
      </c>
      <c r="M13" s="8" t="n"/>
    </row>
    <row r="14" ht="36" customHeight="1" s="42">
      <c r="A14" s="13" t="inlineStr">
        <is>
          <t>31975</t>
        </is>
      </c>
      <c r="B14" s="13" t="inlineStr">
        <is>
          <t>Need a list of all default locations setup for different part numbers in QAD under Item-Site Inventory Data Maintenance tab (1.4.16)</t>
        </is>
      </c>
      <c r="C14" s="13" t="inlineStr">
        <is>
          <t>Closed</t>
        </is>
      </c>
      <c r="D14" s="8" t="n"/>
      <c r="E14" s="40" t="n">
        <v>45926</v>
      </c>
      <c r="F14" s="40" t="n">
        <v>45929</v>
      </c>
      <c r="G14" s="13" t="inlineStr">
        <is>
          <t>Santhosh</t>
        </is>
      </c>
      <c r="H14" s="13" t="inlineStr">
        <is>
          <t>No</t>
        </is>
      </c>
      <c r="I14" s="13" t="inlineStr">
        <is>
          <t>No</t>
        </is>
      </c>
      <c r="J14" s="13" t="n">
        <v>25</v>
      </c>
      <c r="K14" s="13" t="n">
        <v>25</v>
      </c>
      <c r="L14" s="13" t="inlineStr">
        <is>
          <t>Q3-2025</t>
        </is>
      </c>
      <c r="M14" s="13" t="n">
        <v>3</v>
      </c>
    </row>
    <row r="15" ht="75" customHeight="1" s="42">
      <c r="A15" s="13" t="inlineStr">
        <is>
          <t>32434</t>
        </is>
      </c>
      <c r="B15" s="13" t="inlineStr">
        <is>
          <t>The "New/Change" column is not working properly</t>
        </is>
      </c>
      <c r="C15" s="13" t="inlineStr">
        <is>
          <t>In Progress</t>
        </is>
      </c>
      <c r="D15" s="8" t="n"/>
      <c r="E15" s="40" t="n">
        <v>45910</v>
      </c>
      <c r="F15" s="8" t="n"/>
      <c r="G15" s="13" t="inlineStr">
        <is>
          <t>Santhosh</t>
        </is>
      </c>
      <c r="H15" s="13" t="inlineStr">
        <is>
          <t>Yes</t>
        </is>
      </c>
      <c r="I15" s="13" t="inlineStr">
        <is>
          <t>Yes</t>
        </is>
      </c>
      <c r="J15" s="13" t="n">
        <v>50</v>
      </c>
      <c r="K15" s="13" t="n">
        <v>50</v>
      </c>
      <c r="L15" s="13" t="inlineStr">
        <is>
          <t>Q3-2025</t>
        </is>
      </c>
      <c r="M15" s="8" t="n"/>
    </row>
    <row r="16" ht="45" customHeight="1" s="42">
      <c r="A16" s="13" t="inlineStr">
        <is>
          <t>6492</t>
        </is>
      </c>
      <c r="B16" s="13" t="inlineStr">
        <is>
          <t>QAD Dealer payments (floorplan)</t>
        </is>
      </c>
      <c r="C16" s="13" t="inlineStr">
        <is>
          <t>Closed</t>
        </is>
      </c>
      <c r="D16" s="8" t="n"/>
      <c r="E16" s="40" t="n">
        <v>45821</v>
      </c>
      <c r="F16" s="40" t="n">
        <v>45859</v>
      </c>
      <c r="G16" s="13" t="inlineStr">
        <is>
          <t>Santhosh</t>
        </is>
      </c>
      <c r="H16" s="13" t="inlineStr">
        <is>
          <t>Yes</t>
        </is>
      </c>
      <c r="I16" s="13" t="inlineStr">
        <is>
          <t>Yes</t>
        </is>
      </c>
      <c r="J16" s="13" t="n">
        <v>15</v>
      </c>
      <c r="K16" s="13" t="n">
        <v>15</v>
      </c>
      <c r="L16" s="13" t="inlineStr">
        <is>
          <t>Q3-2025</t>
        </is>
      </c>
      <c r="M16" s="13" t="n">
        <v>38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Q3-2025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11</v>
      </c>
    </row>
    <row r="7" ht="30" customHeight="1" s="42">
      <c r="A7" s="12" t="inlineStr">
        <is>
          <t>Closed/Resolved</t>
        </is>
      </c>
      <c r="B7" s="12" t="n">
        <v>9</v>
      </c>
      <c r="C7" s="25" t="inlineStr">
        <is>
          <t>Yes</t>
        </is>
      </c>
    </row>
    <row r="8">
      <c r="A8" s="12" t="inlineStr">
        <is>
          <t>Open / spill</t>
        </is>
      </c>
      <c r="B8" s="12" t="n">
        <v>2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18.2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6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5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195</v>
      </c>
    </row>
    <row r="13">
      <c r="A13" s="12" t="inlineStr">
        <is>
          <t>SQL Lines</t>
        </is>
      </c>
      <c r="B13" s="12" t="n">
        <v>192</v>
      </c>
    </row>
    <row r="14" ht="30" customHeight="1" s="42">
      <c r="A14" s="12" t="inlineStr">
        <is>
          <t>Avg Cycle Days</t>
        </is>
      </c>
      <c r="B14" s="12" t="n">
        <v>84.59999999999999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2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1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Q4-2025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45" customHeight="1" s="42">
      <c r="A6" s="13" t="inlineStr">
        <is>
          <t>16445</t>
        </is>
      </c>
      <c r="B6" s="13" t="inlineStr">
        <is>
          <t>Stock Up Orders Report Status</t>
        </is>
      </c>
      <c r="C6" s="13" t="inlineStr">
        <is>
          <t>Closed</t>
        </is>
      </c>
      <c r="D6" s="8" t="n"/>
      <c r="E6" s="40" t="n">
        <v>45514</v>
      </c>
      <c r="F6" s="40" t="n">
        <v>46000</v>
      </c>
      <c r="G6" s="13" t="inlineStr">
        <is>
          <t>Santhosh</t>
        </is>
      </c>
      <c r="H6" s="13" t="inlineStr">
        <is>
          <t>No</t>
        </is>
      </c>
      <c r="I6" s="13" t="inlineStr">
        <is>
          <t>No</t>
        </is>
      </c>
      <c r="J6" s="8" t="n"/>
      <c r="K6" s="8" t="n"/>
      <c r="L6" s="13" t="inlineStr">
        <is>
          <t>Q4-2025</t>
        </is>
      </c>
      <c r="M6" s="13" t="n">
        <v>486</v>
      </c>
    </row>
    <row r="7" ht="60" customHeight="1" s="42">
      <c r="A7" s="13" t="inlineStr">
        <is>
          <t>28877</t>
        </is>
      </c>
      <c r="B7" s="13" t="inlineStr">
        <is>
          <t>DC Kayne orders</t>
        </is>
      </c>
      <c r="C7" s="13" t="inlineStr">
        <is>
          <t>Closed</t>
        </is>
      </c>
      <c r="D7" s="8" t="n"/>
      <c r="E7" s="40" t="n">
        <v>45838</v>
      </c>
      <c r="F7" s="40" t="n">
        <v>45998</v>
      </c>
      <c r="G7" s="13" t="inlineStr">
        <is>
          <t>Santhosh</t>
        </is>
      </c>
      <c r="H7" s="13" t="inlineStr">
        <is>
          <t>No</t>
        </is>
      </c>
      <c r="I7" s="13" t="inlineStr">
        <is>
          <t>yes</t>
        </is>
      </c>
      <c r="J7" s="13" t="n">
        <v>20</v>
      </c>
      <c r="K7" s="13" t="n">
        <v>20</v>
      </c>
      <c r="L7" s="13" t="inlineStr">
        <is>
          <t>Q4-2025</t>
        </is>
      </c>
      <c r="M7" s="13" t="n">
        <v>160</v>
      </c>
    </row>
    <row r="8" ht="30" customHeight="1" s="42">
      <c r="A8" s="13" t="inlineStr">
        <is>
          <t>30229</t>
        </is>
      </c>
      <c r="B8" s="13" t="inlineStr">
        <is>
          <t>Autocar stock orders potential issue</t>
        </is>
      </c>
      <c r="C8" s="13" t="inlineStr">
        <is>
          <t>Closed</t>
        </is>
      </c>
      <c r="D8" s="8" t="n"/>
      <c r="E8" s="40" t="n">
        <v>45877</v>
      </c>
      <c r="F8" s="40" t="n">
        <v>45973</v>
      </c>
      <c r="G8" s="13" t="inlineStr">
        <is>
          <t>Santhosh</t>
        </is>
      </c>
      <c r="H8" s="13" t="inlineStr">
        <is>
          <t>No</t>
        </is>
      </c>
      <c r="I8" s="13" t="inlineStr">
        <is>
          <t>No</t>
        </is>
      </c>
      <c r="J8" s="8" t="n"/>
      <c r="K8" s="8" t="n"/>
      <c r="L8" s="13" t="inlineStr">
        <is>
          <t>Q4-2025</t>
        </is>
      </c>
      <c r="M8" s="13" t="n">
        <v>96</v>
      </c>
    </row>
    <row r="9" ht="60" customHeight="1" s="42">
      <c r="A9" s="13" t="inlineStr">
        <is>
          <t>30333</t>
        </is>
      </c>
      <c r="B9" s="13" t="inlineStr">
        <is>
          <t>SCAR supplier scorecard not collecting data</t>
        </is>
      </c>
      <c r="C9" s="13" t="inlineStr">
        <is>
          <t>Closed</t>
        </is>
      </c>
      <c r="D9" s="8" t="n"/>
      <c r="E9" s="40" t="n">
        <v>45999</v>
      </c>
      <c r="F9" s="40" t="n">
        <v>45977</v>
      </c>
      <c r="G9" s="13" t="inlineStr">
        <is>
          <t>Santhosh</t>
        </is>
      </c>
      <c r="H9" s="13" t="inlineStr">
        <is>
          <t>No</t>
        </is>
      </c>
      <c r="I9" s="13" t="inlineStr">
        <is>
          <t>No</t>
        </is>
      </c>
      <c r="J9" s="8" t="n"/>
      <c r="K9" s="8" t="n"/>
      <c r="L9" s="13" t="inlineStr">
        <is>
          <t>Q4-2025</t>
        </is>
      </c>
      <c r="M9" s="13" t="n">
        <v>-22</v>
      </c>
    </row>
    <row r="10" ht="45" customHeight="1" s="42">
      <c r="A10" s="13" t="inlineStr">
        <is>
          <t>31703</t>
        </is>
      </c>
      <c r="B10" s="13" t="inlineStr">
        <is>
          <t>Work Order Cost Report Error - Brian Lowe</t>
        </is>
      </c>
      <c r="C10" s="13" t="inlineStr">
        <is>
          <t>Closed</t>
        </is>
      </c>
      <c r="D10" s="8" t="n"/>
      <c r="E10" s="40" t="n">
        <v>45918</v>
      </c>
      <c r="F10" s="40" t="n">
        <v>45973</v>
      </c>
      <c r="G10" s="13" t="inlineStr">
        <is>
          <t>Santhosh</t>
        </is>
      </c>
      <c r="H10" s="13" t="inlineStr">
        <is>
          <t>No</t>
        </is>
      </c>
      <c r="I10" s="13" t="inlineStr">
        <is>
          <t>No</t>
        </is>
      </c>
      <c r="J10" s="8" t="n"/>
      <c r="K10" s="8" t="n"/>
      <c r="L10" s="13" t="inlineStr">
        <is>
          <t>Q4-2025</t>
        </is>
      </c>
      <c r="M10" s="13" t="n">
        <v>55</v>
      </c>
    </row>
    <row r="11" ht="60" customHeight="1" s="42">
      <c r="A11" s="13" t="inlineStr">
        <is>
          <t>32247</t>
        </is>
      </c>
      <c r="B11" s="13" t="inlineStr">
        <is>
          <t>Load unregistered suppliers to measure supplier performance.</t>
        </is>
      </c>
      <c r="C11" s="13" t="inlineStr">
        <is>
          <t>Closed</t>
        </is>
      </c>
      <c r="D11" s="8" t="n"/>
      <c r="E11" s="40" t="n">
        <v>45726</v>
      </c>
      <c r="F11" s="40" t="n">
        <v>45956</v>
      </c>
      <c r="G11" s="13" t="inlineStr">
        <is>
          <t>Santhosh</t>
        </is>
      </c>
      <c r="H11" s="13" t="inlineStr">
        <is>
          <t>No</t>
        </is>
      </c>
      <c r="I11" s="13" t="inlineStr">
        <is>
          <t>No</t>
        </is>
      </c>
      <c r="J11" s="8" t="n"/>
      <c r="K11" s="8" t="n"/>
      <c r="L11" s="13" t="inlineStr">
        <is>
          <t>Q4-2025</t>
        </is>
      </c>
      <c r="M11" s="13" t="n">
        <v>230</v>
      </c>
    </row>
    <row r="12" ht="90" customHeight="1" s="42">
      <c r="A12" s="13" t="inlineStr">
        <is>
          <t>33331</t>
        </is>
      </c>
      <c r="B12" s="13" t="inlineStr">
        <is>
          <t>WP097396.</t>
        </is>
      </c>
      <c r="C12" s="13" t="inlineStr">
        <is>
          <t>Closed</t>
        </is>
      </c>
      <c r="D12" s="8" t="n"/>
      <c r="E12" s="40" t="n">
        <v>45758</v>
      </c>
      <c r="F12" s="40" t="n">
        <v>45990</v>
      </c>
      <c r="G12" s="13" t="inlineStr">
        <is>
          <t>Santhosh</t>
        </is>
      </c>
      <c r="H12" s="13" t="inlineStr">
        <is>
          <t>No</t>
        </is>
      </c>
      <c r="I12" s="13" t="inlineStr">
        <is>
          <t>No</t>
        </is>
      </c>
      <c r="J12" s="8" t="n"/>
      <c r="K12" s="8" t="n"/>
      <c r="L12" s="13" t="inlineStr">
        <is>
          <t>Q4-2025</t>
        </is>
      </c>
      <c r="M12" s="13" t="n">
        <v>232</v>
      </c>
    </row>
    <row r="13">
      <c r="A13" s="13" t="inlineStr">
        <is>
          <t>33944</t>
        </is>
      </c>
      <c r="B13" s="13" t="inlineStr">
        <is>
          <t>Stock Order Problem</t>
        </is>
      </c>
      <c r="C13" s="13" t="inlineStr">
        <is>
          <t>Closed</t>
        </is>
      </c>
      <c r="D13" s="8" t="n"/>
      <c r="E13" s="40" t="n">
        <v>45986</v>
      </c>
      <c r="F13" s="40" t="n">
        <v>46003</v>
      </c>
      <c r="G13" s="13" t="inlineStr">
        <is>
          <t>Santhosh</t>
        </is>
      </c>
      <c r="H13" s="13" t="inlineStr">
        <is>
          <t>No</t>
        </is>
      </c>
      <c r="I13" s="13" t="inlineStr">
        <is>
          <t>No</t>
        </is>
      </c>
      <c r="J13" s="8" t="n"/>
      <c r="K13" s="8" t="n"/>
      <c r="L13" s="13" t="inlineStr">
        <is>
          <t>Q4-2025</t>
        </is>
      </c>
      <c r="M13" s="13" t="n">
        <v>17</v>
      </c>
    </row>
    <row r="14" ht="30" customHeight="1" s="42"/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Q4-2025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8</v>
      </c>
    </row>
    <row r="7" ht="30" customHeight="1" s="42">
      <c r="A7" s="12" t="inlineStr">
        <is>
          <t>Closed/Resolved</t>
        </is>
      </c>
      <c r="B7" s="12" t="n">
        <v>8</v>
      </c>
      <c r="C7" s="25" t="inlineStr">
        <is>
          <t>Yes</t>
        </is>
      </c>
    </row>
    <row r="8">
      <c r="A8" s="12" t="inlineStr">
        <is>
          <t>Open / spill</t>
        </is>
      </c>
      <c r="B8" s="12" t="n">
        <v>0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0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1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0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20</v>
      </c>
    </row>
    <row r="13">
      <c r="A13" s="12" t="inlineStr">
        <is>
          <t>SQL Lines</t>
        </is>
      </c>
      <c r="B13" s="12" t="n">
        <v>20</v>
      </c>
    </row>
    <row r="14" ht="30" customHeight="1" s="42">
      <c r="A14" s="12" t="inlineStr">
        <is>
          <t>Avg Cycle Days</t>
        </is>
      </c>
      <c r="B14" s="12" t="n">
        <v>156.8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2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1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Q1-2026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30" customHeight="1" s="42">
      <c r="A6" s="13" t="inlineStr">
        <is>
          <t>25830</t>
        </is>
      </c>
      <c r="B6" s="13" t="inlineStr">
        <is>
          <t>WO missing for ACX EV</t>
        </is>
      </c>
      <c r="C6" s="13" t="inlineStr">
        <is>
          <t>Closed</t>
        </is>
      </c>
      <c r="D6" s="8" t="n"/>
      <c r="E6" s="40" t="n">
        <v>45761</v>
      </c>
      <c r="F6" s="40" t="n">
        <v>46057</v>
      </c>
      <c r="G6" s="13" t="inlineStr">
        <is>
          <t>Santhosh</t>
        </is>
      </c>
      <c r="H6" s="13" t="inlineStr">
        <is>
          <t>No</t>
        </is>
      </c>
      <c r="I6" s="13" t="inlineStr">
        <is>
          <t>NO</t>
        </is>
      </c>
      <c r="J6" s="8" t="n"/>
      <c r="K6" s="13" t="n">
        <v>25</v>
      </c>
      <c r="L6" s="13" t="inlineStr">
        <is>
          <t>Q1-2026</t>
        </is>
      </c>
      <c r="M6" s="13" t="n">
        <v>296</v>
      </c>
    </row>
    <row r="7" ht="60" customHeight="1" s="42">
      <c r="A7" s="13" t="inlineStr">
        <is>
          <t>30907</t>
        </is>
      </c>
      <c r="B7" s="13" t="inlineStr">
        <is>
          <t>System Freeze and Login Issue – Order PO145013</t>
        </is>
      </c>
      <c r="C7" s="13" t="inlineStr">
        <is>
          <t>Closed</t>
        </is>
      </c>
      <c r="D7" s="8" t="n"/>
      <c r="E7" s="40" t="n">
        <v>45896</v>
      </c>
      <c r="F7" s="40" t="n">
        <v>46041</v>
      </c>
      <c r="G7" s="13" t="inlineStr">
        <is>
          <t>Santhosh</t>
        </is>
      </c>
      <c r="H7" s="13" t="inlineStr">
        <is>
          <t>No</t>
        </is>
      </c>
      <c r="I7" s="13" t="inlineStr">
        <is>
          <t>no</t>
        </is>
      </c>
      <c r="J7" s="8" t="n"/>
      <c r="K7" s="8" t="n"/>
      <c r="L7" s="13" t="inlineStr">
        <is>
          <t>Q1-2026</t>
        </is>
      </c>
      <c r="M7" s="13" t="n">
        <v>145</v>
      </c>
    </row>
    <row r="8" ht="75" customHeight="1" s="42">
      <c r="A8" s="13" t="inlineStr">
        <is>
          <t>34359</t>
        </is>
      </c>
      <c r="B8" s="13" t="inlineStr">
        <is>
          <t>Assistance Required for Order Entry PO145030 Line 42 – Kit 7338</t>
        </is>
      </c>
      <c r="C8" s="13" t="inlineStr">
        <is>
          <t>Closed</t>
        </is>
      </c>
      <c r="D8" s="8" t="n"/>
      <c r="E8" s="40" t="n">
        <v>45942</v>
      </c>
      <c r="F8" s="40" t="n">
        <v>46041</v>
      </c>
      <c r="G8" s="13" t="inlineStr">
        <is>
          <t>Santhosh</t>
        </is>
      </c>
      <c r="H8" s="13" t="inlineStr">
        <is>
          <t>NO</t>
        </is>
      </c>
      <c r="I8" s="13" t="inlineStr">
        <is>
          <t>No</t>
        </is>
      </c>
      <c r="J8" s="8" t="n"/>
      <c r="K8" s="8" t="n"/>
      <c r="L8" s="13" t="inlineStr">
        <is>
          <t>Q1-2026</t>
        </is>
      </c>
      <c r="M8" s="13" t="n">
        <v>99</v>
      </c>
    </row>
    <row r="9" ht="60" customHeight="1" s="42">
      <c r="A9" s="13" t="inlineStr">
        <is>
          <t>34626</t>
        </is>
      </c>
      <c r="B9" s="13" t="inlineStr">
        <is>
          <t>20057474 Not showing as lead truck in QAD</t>
        </is>
      </c>
      <c r="C9" s="13" t="inlineStr">
        <is>
          <t>Closed</t>
        </is>
      </c>
      <c r="D9" s="8" t="n"/>
      <c r="E9" s="40" t="n">
        <v>46010</v>
      </c>
      <c r="F9" s="40" t="n">
        <v>46040</v>
      </c>
      <c r="G9" s="13" t="inlineStr">
        <is>
          <t>Santhosh</t>
        </is>
      </c>
      <c r="H9" s="13" t="inlineStr">
        <is>
          <t>No</t>
        </is>
      </c>
      <c r="I9" s="13" t="inlineStr">
        <is>
          <t>NO</t>
        </is>
      </c>
      <c r="J9" s="8" t="n"/>
      <c r="K9" s="8" t="n"/>
      <c r="L9" s="13" t="inlineStr">
        <is>
          <t>Q1-2026</t>
        </is>
      </c>
      <c r="M9" s="13" t="n">
        <v>30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Q1-2026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4</v>
      </c>
    </row>
    <row r="7" ht="30" customHeight="1" s="42">
      <c r="A7" s="12" t="inlineStr">
        <is>
          <t>Closed/Resolved</t>
        </is>
      </c>
      <c r="B7" s="12" t="n">
        <v>4</v>
      </c>
      <c r="C7" s="23" t="inlineStr">
        <is>
          <t>No</t>
        </is>
      </c>
    </row>
    <row r="8">
      <c r="A8" s="12" t="inlineStr">
        <is>
          <t>Open / spill</t>
        </is>
      </c>
      <c r="B8" s="12" t="n">
        <v>0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0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0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0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0</v>
      </c>
    </row>
    <row r="13">
      <c r="A13" s="12" t="inlineStr">
        <is>
          <t>SQL Lines</t>
        </is>
      </c>
      <c r="B13" s="12" t="n">
        <v>25</v>
      </c>
    </row>
    <row r="14" ht="30" customHeight="1" s="42">
      <c r="A14" s="12" t="inlineStr">
        <is>
          <t>Avg Cycle Days</t>
        </is>
      </c>
      <c r="B14" s="12" t="n">
        <v>142.5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2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0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Q2-2026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60" customHeight="1" s="42">
      <c r="A6" s="13" t="inlineStr">
        <is>
          <t>30393</t>
        </is>
      </c>
      <c r="B6" s="13" t="inlineStr">
        <is>
          <t>Update DC Cab and Hood Leadtime Offset</t>
        </is>
      </c>
      <c r="C6" s="13" t="inlineStr">
        <is>
          <t>Closed</t>
        </is>
      </c>
      <c r="D6" s="8" t="n"/>
      <c r="E6" s="40" t="n">
        <v>45882</v>
      </c>
      <c r="F6" s="40" t="n">
        <v>46132</v>
      </c>
      <c r="G6" s="13" t="inlineStr">
        <is>
          <t>Santhosh</t>
        </is>
      </c>
      <c r="H6" s="13" t="inlineStr">
        <is>
          <t>no</t>
        </is>
      </c>
      <c r="I6" s="13" t="inlineStr">
        <is>
          <t>No</t>
        </is>
      </c>
      <c r="J6" s="8" t="n"/>
      <c r="K6" s="8" t="n"/>
      <c r="L6" s="13" t="inlineStr">
        <is>
          <t>Q2-2026</t>
        </is>
      </c>
      <c r="M6" s="13" t="n">
        <v>250</v>
      </c>
    </row>
    <row r="7" ht="36" customHeight="1" s="42">
      <c r="A7" s="13" t="inlineStr">
        <is>
          <t>35594</t>
        </is>
      </c>
      <c r="B7" s="13" t="inlineStr">
        <is>
          <t>Add validation to any orders that exceed MRP recommendation (quantities with no demand support)</t>
        </is>
      </c>
      <c r="C7" s="13" t="inlineStr">
        <is>
          <t>Closed</t>
        </is>
      </c>
      <c r="D7" s="8" t="n"/>
      <c r="E7" s="40" t="n">
        <v>46044</v>
      </c>
      <c r="F7" s="40" t="n">
        <v>46161</v>
      </c>
      <c r="G7" s="13" t="inlineStr">
        <is>
          <t>Santhosh</t>
        </is>
      </c>
      <c r="H7" s="13" t="inlineStr">
        <is>
          <t>yes</t>
        </is>
      </c>
      <c r="I7" s="13" t="inlineStr">
        <is>
          <t>yes</t>
        </is>
      </c>
      <c r="J7" s="13" t="n">
        <v>200</v>
      </c>
      <c r="K7" s="13" t="n">
        <v>200</v>
      </c>
      <c r="L7" s="13" t="inlineStr">
        <is>
          <t>Q2-2026</t>
        </is>
      </c>
      <c r="M7" s="13" t="n">
        <v>117</v>
      </c>
    </row>
    <row r="8">
      <c r="A8" s="13" t="inlineStr">
        <is>
          <t>36142</t>
        </is>
      </c>
      <c r="B8" s="13" t="inlineStr">
        <is>
          <t>QAD Refresh</t>
        </is>
      </c>
      <c r="C8" s="13" t="inlineStr">
        <is>
          <t>Closed</t>
        </is>
      </c>
      <c r="D8" s="8" t="n"/>
      <c r="E8" s="40" t="n">
        <v>46114</v>
      </c>
      <c r="F8" s="40" t="n">
        <v>46127</v>
      </c>
      <c r="G8" s="13" t="inlineStr">
        <is>
          <t>Santhosh</t>
        </is>
      </c>
      <c r="H8" s="13" t="inlineStr">
        <is>
          <t>No</t>
        </is>
      </c>
      <c r="I8" s="13" t="inlineStr">
        <is>
          <t>No</t>
        </is>
      </c>
      <c r="J8" s="8" t="n"/>
      <c r="K8" s="8" t="n"/>
      <c r="L8" s="13" t="inlineStr">
        <is>
          <t>Q2-2026</t>
        </is>
      </c>
      <c r="M8" s="13" t="n">
        <v>13</v>
      </c>
    </row>
    <row r="9" ht="75" customHeight="1" s="42">
      <c r="A9" s="13" t="inlineStr">
        <is>
          <t>38849</t>
        </is>
      </c>
      <c r="B9" s="13" t="inlineStr">
        <is>
          <t>MOQ and OM Parameter validation for new material setup</t>
        </is>
      </c>
      <c r="C9" s="13" t="inlineStr">
        <is>
          <t>Closed</t>
        </is>
      </c>
      <c r="D9" s="8" t="n"/>
      <c r="E9" s="40" t="n">
        <v>46126</v>
      </c>
      <c r="F9" s="40" t="n">
        <v>46162</v>
      </c>
      <c r="G9" s="13" t="inlineStr">
        <is>
          <t>Santhosh</t>
        </is>
      </c>
      <c r="H9" s="13" t="inlineStr">
        <is>
          <t>yes</t>
        </is>
      </c>
      <c r="I9" s="13" t="inlineStr">
        <is>
          <t>Yes</t>
        </is>
      </c>
      <c r="J9" s="13" t="n">
        <v>100</v>
      </c>
      <c r="K9" s="13" t="n">
        <v>100</v>
      </c>
      <c r="L9" s="13" t="inlineStr">
        <is>
          <t>Q2-2026</t>
        </is>
      </c>
      <c r="M9" s="13" t="n">
        <v>36</v>
      </c>
    </row>
    <row r="10" ht="30" customHeight="1" s="42">
      <c r="A10" s="13" t="inlineStr">
        <is>
          <t>41848</t>
        </is>
      </c>
      <c r="B10" s="13" t="inlineStr">
        <is>
          <t>Data pull from QAD</t>
        </is>
      </c>
      <c r="C10" s="13" t="inlineStr">
        <is>
          <t>Closed</t>
        </is>
      </c>
      <c r="D10" s="8" t="n"/>
      <c r="E10" s="40" t="n">
        <v>46190</v>
      </c>
      <c r="F10" s="40" t="n">
        <v>46202</v>
      </c>
      <c r="G10" s="13" t="inlineStr">
        <is>
          <t>Santhosh</t>
        </is>
      </c>
      <c r="H10" s="13" t="inlineStr">
        <is>
          <t>No</t>
        </is>
      </c>
      <c r="I10" s="13" t="inlineStr">
        <is>
          <t>yes</t>
        </is>
      </c>
      <c r="J10" s="13" t="n">
        <v>50</v>
      </c>
      <c r="K10" s="13" t="n">
        <v>50</v>
      </c>
      <c r="L10" s="13" t="inlineStr">
        <is>
          <t>Q2-2026</t>
        </is>
      </c>
      <c r="M10" s="13" t="n">
        <v>12</v>
      </c>
    </row>
    <row r="11" ht="30" customHeight="1" s="42">
      <c r="A11" s="13" t="inlineStr">
        <is>
          <t>42203</t>
        </is>
      </c>
      <c r="B11" s="13" t="inlineStr">
        <is>
          <t>Price File/PO variance</t>
        </is>
      </c>
      <c r="C11" s="13" t="inlineStr">
        <is>
          <t>In Progress</t>
        </is>
      </c>
      <c r="D11" s="8" t="n"/>
      <c r="E11" s="40" t="n">
        <v>46199</v>
      </c>
      <c r="F11" s="8" t="n"/>
      <c r="G11" s="13" t="inlineStr">
        <is>
          <t>Santhosh</t>
        </is>
      </c>
      <c r="H11" s="13" t="inlineStr">
        <is>
          <t>No</t>
        </is>
      </c>
      <c r="I11" s="13" t="inlineStr">
        <is>
          <t>Yes</t>
        </is>
      </c>
      <c r="J11" s="13" t="n">
        <v>65</v>
      </c>
      <c r="K11" s="13" t="n">
        <v>65</v>
      </c>
      <c r="L11" s="13" t="inlineStr">
        <is>
          <t>Q2-2026</t>
        </is>
      </c>
      <c r="M11" s="8" t="n"/>
    </row>
    <row r="12" ht="90" customHeight="1" s="42"/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Q2-2026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6</v>
      </c>
    </row>
    <row r="7" ht="30" customHeight="1" s="42">
      <c r="A7" s="12" t="inlineStr">
        <is>
          <t>Closed/Resolved</t>
        </is>
      </c>
      <c r="B7" s="12" t="n">
        <v>5</v>
      </c>
      <c r="C7" s="23" t="inlineStr">
        <is>
          <t>No</t>
        </is>
      </c>
    </row>
    <row r="8">
      <c r="A8" s="12" t="inlineStr">
        <is>
          <t>Open / spill</t>
        </is>
      </c>
      <c r="B8" s="12" t="n">
        <v>1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16.7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4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2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415</v>
      </c>
    </row>
    <row r="13">
      <c r="A13" s="12" t="inlineStr">
        <is>
          <t>SQL Lines</t>
        </is>
      </c>
      <c r="B13" s="12" t="n">
        <v>415</v>
      </c>
    </row>
    <row r="14" ht="30" customHeight="1" s="42">
      <c r="A14" s="12" t="inlineStr">
        <is>
          <t>Avg Cycle Days</t>
        </is>
      </c>
      <c r="B14" s="12" t="n">
        <v>85.59999999999999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0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0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Q3-2026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60" customHeight="1" s="42">
      <c r="A6" s="13" t="inlineStr">
        <is>
          <t>43310</t>
        </is>
      </c>
      <c r="B6" s="13" t="inlineStr">
        <is>
          <t>90.29 - can we get more characters added to the Description field</t>
        </is>
      </c>
      <c r="C6" s="13" t="inlineStr">
        <is>
          <t>Closed</t>
        </is>
      </c>
      <c r="D6" s="8" t="n"/>
      <c r="E6" s="40" t="n">
        <v>46233</v>
      </c>
      <c r="F6" s="40" t="n">
        <v>46181</v>
      </c>
      <c r="G6" s="13" t="inlineStr">
        <is>
          <t>Santhosh</t>
        </is>
      </c>
      <c r="H6" s="13" t="inlineStr">
        <is>
          <t>yes</t>
        </is>
      </c>
      <c r="I6" s="13" t="inlineStr">
        <is>
          <t>Yes</t>
        </is>
      </c>
      <c r="J6" s="8" t="n">
        <v>4</v>
      </c>
      <c r="K6" s="8" t="n">
        <v>4</v>
      </c>
      <c r="L6" s="13" t="inlineStr">
        <is>
          <t>Q3-2026</t>
        </is>
      </c>
      <c r="M6" s="13" t="n">
        <v>-52</v>
      </c>
    </row>
    <row r="7" ht="60" customHeight="1" s="42">
      <c r="A7" s="13" t="inlineStr">
        <is>
          <t>41088</t>
        </is>
      </c>
      <c r="B7" s="13" t="inlineStr">
        <is>
          <t>Price List Controls</t>
        </is>
      </c>
      <c r="C7" s="13" t="inlineStr">
        <is>
          <t>Closed</t>
        </is>
      </c>
      <c r="D7" s="8" t="n"/>
      <c r="E7" s="40" t="n">
        <v>46170</v>
      </c>
      <c r="F7" s="40" t="n">
        <v>46225</v>
      </c>
      <c r="G7" s="13" t="inlineStr">
        <is>
          <t>Santhosh</t>
        </is>
      </c>
      <c r="H7" s="13" t="inlineStr">
        <is>
          <t>Yes</t>
        </is>
      </c>
      <c r="I7" s="13" t="inlineStr">
        <is>
          <t>yES</t>
        </is>
      </c>
      <c r="J7" s="8" t="n">
        <v>40</v>
      </c>
      <c r="K7" s="8" t="n">
        <v>25</v>
      </c>
      <c r="L7" s="13" t="inlineStr">
        <is>
          <t>Q3-2026</t>
        </is>
      </c>
      <c r="M7" s="13" t="n">
        <v>55</v>
      </c>
    </row>
    <row r="8" ht="60" customHeight="1" s="42">
      <c r="A8" s="13" t="inlineStr">
        <is>
          <t>41474</t>
        </is>
      </c>
      <c r="B8" s="13" t="inlineStr">
        <is>
          <t>Please make two changes to price lists to enhance prevention of user error:</t>
        </is>
      </c>
      <c r="C8" s="13" t="inlineStr">
        <is>
          <t>Closed</t>
        </is>
      </c>
      <c r="D8" s="8" t="n"/>
      <c r="E8" s="40" t="n">
        <v>46240</v>
      </c>
      <c r="F8" s="40" t="n">
        <v>46233</v>
      </c>
      <c r="G8" s="13" t="inlineStr">
        <is>
          <t>Santhosh</t>
        </is>
      </c>
      <c r="H8" s="13" t="inlineStr">
        <is>
          <t>No</t>
        </is>
      </c>
      <c r="I8" s="13" t="inlineStr">
        <is>
          <t>Yes</t>
        </is>
      </c>
      <c r="J8" s="8" t="n">
        <v>40</v>
      </c>
      <c r="K8" s="8" t="n"/>
      <c r="L8" s="13" t="inlineStr">
        <is>
          <t>Q3-2026</t>
        </is>
      </c>
      <c r="M8" s="13" t="n">
        <v>-7</v>
      </c>
    </row>
    <row r="9" ht="60" customHeight="1" s="42">
      <c r="A9" s="13" t="inlineStr">
        <is>
          <t>41696</t>
        </is>
      </c>
      <c r="B9" s="13" t="inlineStr">
        <is>
          <t>PP PPAP PO's currently have no business process to process them</t>
        </is>
      </c>
      <c r="C9" s="13" t="inlineStr">
        <is>
          <t>Closed</t>
        </is>
      </c>
      <c r="D9" s="8" t="n"/>
      <c r="E9" s="40" t="n">
        <v>46362</v>
      </c>
      <c r="F9" s="40" t="n">
        <v>46272</v>
      </c>
      <c r="G9" s="13" t="inlineStr">
        <is>
          <t>Santhosh</t>
        </is>
      </c>
      <c r="H9" s="13" t="inlineStr">
        <is>
          <t>no</t>
        </is>
      </c>
      <c r="I9" s="13" t="inlineStr">
        <is>
          <t>No</t>
        </is>
      </c>
      <c r="J9" s="8" t="n"/>
      <c r="K9" s="8" t="n"/>
      <c r="L9" s="13" t="inlineStr">
        <is>
          <t>Q3-2026</t>
        </is>
      </c>
      <c r="M9" s="13" t="n">
        <v>-90</v>
      </c>
    </row>
    <row r="10" ht="60" customHeight="1" s="42">
      <c r="A10" s="13" t="inlineStr">
        <is>
          <t>42102</t>
        </is>
      </c>
      <c r="B10" s="13" t="inlineStr">
        <is>
          <t>Safety Stock Validation Approval Routing</t>
        </is>
      </c>
      <c r="C10" s="13" t="inlineStr">
        <is>
          <t>Closed</t>
        </is>
      </c>
      <c r="D10" s="8" t="n"/>
      <c r="E10" s="40" t="n">
        <v>46197</v>
      </c>
      <c r="F10" s="40" t="n">
        <v>46220</v>
      </c>
      <c r="G10" s="13" t="inlineStr">
        <is>
          <t>Santhosh</t>
        </is>
      </c>
      <c r="H10" s="13" t="inlineStr">
        <is>
          <t>yes</t>
        </is>
      </c>
      <c r="I10" s="13" t="inlineStr">
        <is>
          <t>Yes</t>
        </is>
      </c>
      <c r="J10" s="8" t="n">
        <v>2</v>
      </c>
      <c r="K10" s="8" t="n">
        <v>35</v>
      </c>
      <c r="L10" s="13" t="inlineStr">
        <is>
          <t>Q3-2026</t>
        </is>
      </c>
      <c r="M10" s="13" t="n">
        <v>23</v>
      </c>
    </row>
    <row r="11" ht="60" customHeight="1" s="42">
      <c r="A11" s="13" t="inlineStr">
        <is>
          <t>43624</t>
        </is>
      </c>
      <c r="B11" s="13" t="inlineStr">
        <is>
          <t>Cannot firm manually with new approval process</t>
        </is>
      </c>
      <c r="C11" s="13" t="inlineStr">
        <is>
          <t>Closed</t>
        </is>
      </c>
      <c r="D11" s="8" t="n"/>
      <c r="E11" s="40" t="n">
        <v>46150</v>
      </c>
      <c r="F11" s="40" t="n">
        <v>46259</v>
      </c>
      <c r="G11" s="13" t="inlineStr">
        <is>
          <t>Santhosh</t>
        </is>
      </c>
      <c r="H11" s="13" t="inlineStr">
        <is>
          <t>Yes</t>
        </is>
      </c>
      <c r="I11" s="13" t="inlineStr">
        <is>
          <t>Yes</t>
        </is>
      </c>
      <c r="J11" s="8" t="n">
        <v>2</v>
      </c>
      <c r="K11" s="8" t="n">
        <v>2</v>
      </c>
      <c r="L11" s="13" t="inlineStr">
        <is>
          <t>Q3-2026</t>
        </is>
      </c>
      <c r="M11" s="13" t="n">
        <v>109</v>
      </c>
    </row>
    <row r="12" ht="60" customHeight="1" s="42">
      <c r="A12" s="13" t="inlineStr">
        <is>
          <t>16797</t>
        </is>
      </c>
      <c r="B12" s="13" t="inlineStr">
        <is>
          <t>Auto-Consume DC Dash Inventory On Receipt of P_</t>
        </is>
      </c>
      <c r="C12" s="13" t="inlineStr">
        <is>
          <t>In Progress-User</t>
        </is>
      </c>
      <c r="D12" s="8" t="n"/>
      <c r="E12" s="40" t="n">
        <v>45580</v>
      </c>
      <c r="F12" s="40" t="n"/>
      <c r="G12" s="13" t="inlineStr">
        <is>
          <t>Santhosh</t>
        </is>
      </c>
      <c r="H12" s="13" t="n"/>
      <c r="I12" s="13" t="inlineStr">
        <is>
          <t>No</t>
        </is>
      </c>
      <c r="J12" s="8" t="n"/>
      <c r="K12" s="8" t="n"/>
      <c r="L12" s="13" t="inlineStr">
        <is>
          <t>Q3-2026</t>
        </is>
      </c>
      <c r="M12" s="13" t="n"/>
    </row>
    <row r="13" ht="60" customHeight="1" s="42">
      <c r="A13" s="13" t="inlineStr">
        <is>
          <t>25685</t>
        </is>
      </c>
      <c r="B13" s="13" t="inlineStr">
        <is>
          <t>Cum Received On Supplier Schedule Download</t>
        </is>
      </c>
      <c r="C13" s="13" t="inlineStr">
        <is>
          <t>In Progress-UAT</t>
        </is>
      </c>
      <c r="D13" s="8" t="n"/>
      <c r="E13" s="40" t="n">
        <v>45934</v>
      </c>
      <c r="F13" s="40" t="n"/>
      <c r="G13" s="13" t="inlineStr">
        <is>
          <t>Santhosh</t>
        </is>
      </c>
      <c r="H13" s="13" t="inlineStr">
        <is>
          <t>Yes</t>
        </is>
      </c>
      <c r="I13" s="13" t="inlineStr">
        <is>
          <t>yes</t>
        </is>
      </c>
      <c r="J13" s="8" t="n">
        <v>15</v>
      </c>
      <c r="K13" s="8" t="n">
        <v>15</v>
      </c>
      <c r="L13" s="13" t="inlineStr">
        <is>
          <t>Q3-2026</t>
        </is>
      </c>
      <c r="M13" s="13" t="n"/>
    </row>
    <row r="14" ht="60" customHeight="1" s="42">
      <c r="A14" s="13" t="inlineStr">
        <is>
          <t>45359</t>
        </is>
      </c>
      <c r="B14" s="13" t="inlineStr">
        <is>
          <t>Sales Order Not Found</t>
        </is>
      </c>
      <c r="C14" s="13" t="inlineStr">
        <is>
          <t>Closed</t>
        </is>
      </c>
      <c r="D14" s="8" t="n"/>
      <c r="E14" s="40" t="n"/>
      <c r="F14" s="40" t="n"/>
      <c r="G14" s="13" t="inlineStr">
        <is>
          <t>Santhosh</t>
        </is>
      </c>
      <c r="H14" s="13" t="n"/>
      <c r="I14" s="13" t="n"/>
      <c r="J14" s="8" t="n"/>
      <c r="K14" s="8" t="n"/>
      <c r="L14" s="13" t="inlineStr">
        <is>
          <t>Q3-2026</t>
        </is>
      </c>
      <c r="M14" s="13" t="n"/>
    </row>
    <row r="15" ht="60" customHeight="1" s="42">
      <c r="A15" s="13" t="inlineStr">
        <is>
          <t>43681</t>
        </is>
      </c>
      <c r="B15" s="13" t="inlineStr">
        <is>
          <t>Item Planning upload error</t>
        </is>
      </c>
      <c r="C15" s="13" t="inlineStr">
        <is>
          <t>Closed</t>
        </is>
      </c>
      <c r="D15" s="8" t="n"/>
      <c r="E15" s="40" t="n"/>
      <c r="F15" s="40" t="n"/>
      <c r="G15" s="13" t="inlineStr">
        <is>
          <t>Sunder</t>
        </is>
      </c>
      <c r="H15" s="13" t="n"/>
      <c r="I15" s="13" t="inlineStr">
        <is>
          <t>Yes</t>
        </is>
      </c>
      <c r="J15" s="8" t="n">
        <v>12</v>
      </c>
      <c r="K15" s="8" t="n"/>
      <c r="L15" s="13" t="inlineStr">
        <is>
          <t>Q3-2026</t>
        </is>
      </c>
      <c r="M15" s="13" t="n"/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Q3-2026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10</v>
      </c>
    </row>
    <row r="7" ht="30" customHeight="1" s="42">
      <c r="A7" s="12" t="inlineStr">
        <is>
          <t>Closed/Resolved</t>
        </is>
      </c>
      <c r="B7" s="12" t="n">
        <v>8</v>
      </c>
      <c r="C7" s="23" t="inlineStr">
        <is>
          <t>No</t>
        </is>
      </c>
    </row>
    <row r="8">
      <c r="A8" s="12" t="inlineStr">
        <is>
          <t>Open / spill</t>
        </is>
      </c>
      <c r="B8" s="12" t="n">
        <v>2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20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7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5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115</v>
      </c>
    </row>
    <row r="13">
      <c r="A13" s="12" t="inlineStr">
        <is>
          <t>SQL Lines</t>
        </is>
      </c>
      <c r="B13" s="12" t="n">
        <v>81</v>
      </c>
    </row>
    <row r="14" ht="30" customHeight="1" s="42">
      <c r="A14" s="12" t="inlineStr">
        <is>
          <t>Avg Cycle Days</t>
        </is>
      </c>
      <c r="B14" s="12" t="n">
        <v>6.3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3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0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15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2026-09-23T21:54:45Z</dcterms:created>
  <dcterms:modified xmlns:dcterms="http://purl.org/dc/terms/" xmlns:xsi="http://www.w3.org/2001/XMLSchema-instance" xsi:type="dcterms:W3CDTF">2026-10-29T18:38:30Z</dcterms:modified>
  <cp:lastModifiedBy>Pradyot Ranjan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0x010100FE5934BE90746B418D19A61C02222B6E</vt:lpwstr>
  </property>
  <property name="MediaServiceImageTags" fmtid="{D5CDD505-2E9C-101B-9397-08002B2CF9AE}" pid="3">
    <vt:lpwstr xmlns:vt="http://schemas.openxmlformats.org/officeDocument/2006/docPropsVTypes"/>
  </property>
</Properties>
</file>