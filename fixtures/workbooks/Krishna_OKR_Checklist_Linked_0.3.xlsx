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7520" tabRatio="600" firstSheet="0" activeTab="2" autoFilterDateGrouping="1"/>
  </bookViews>
  <sheets>
    <sheet xmlns:r="http://schemas.openxmlformats.org/officeDocument/2006/relationships" name="Document_Summary" sheetId="1" state="visible" r:id="rId1"/>
    <sheet xmlns:r="http://schemas.openxmlformats.org/officeDocument/2006/relationships" name="KPI_2025" sheetId="2" state="visible" r:id="rId2"/>
    <sheet xmlns:r="http://schemas.openxmlformats.org/officeDocument/2006/relationships" name="KPI_2026" sheetId="3" state="visible" r:id="rId3"/>
    <sheet xmlns:r="http://schemas.openxmlformats.org/officeDocument/2006/relationships" name="OKR_Summary" sheetId="4" state="visible" r:id="rId4"/>
    <sheet xmlns:r="http://schemas.openxmlformats.org/officeDocument/2006/relationships" name="OKR_Checklist_Summary" sheetId="5" state="visible" r:id="rId5"/>
    <sheet xmlns:r="http://schemas.openxmlformats.org/officeDocument/2006/relationships" name="Krishna_OKR_Checklist" sheetId="6" state="visible" r:id="rId6"/>
    <sheet xmlns:r="http://schemas.openxmlformats.org/officeDocument/2006/relationships" name="Actual_vs_Achieved_Scorecard" sheetId="7" state="visible" r:id="rId7"/>
    <sheet xmlns:r="http://schemas.openxmlformats.org/officeDocument/2006/relationships" name="Learning_Evidence" sheetId="8" state="visible" r:id="rId8"/>
    <sheet xmlns:r="http://schemas.openxmlformats.org/officeDocument/2006/relationships" name="Ticket_Velocity" sheetId="9" state="visible" r:id="rId9"/>
    <sheet xmlns:r="http://schemas.openxmlformats.org/officeDocument/2006/relationships" name="Ticket_Spillover" sheetId="10" state="visible" r:id="rId10"/>
    <sheet xmlns:r="http://schemas.openxmlformats.org/officeDocument/2006/relationships" name="FirstCut_Quality" sheetId="11" state="visible" r:id="rId11"/>
    <sheet xmlns:r="http://schemas.openxmlformats.org/officeDocument/2006/relationships" name="CodeChange_Summary" sheetId="12" state="visible" r:id="rId12"/>
    <sheet xmlns:r="http://schemas.openxmlformats.org/officeDocument/2006/relationships" name="CodeChange_Tickets" sheetId="13" state="visible" r:id="rId13"/>
    <sheet xmlns:r="http://schemas.openxmlformats.org/officeDocument/2006/relationships" name="Helpdesk_Discipline" sheetId="14" state="visible" r:id="rId14"/>
    <sheet xmlns:r="http://schemas.openxmlformats.org/officeDocument/2006/relationships" name="SLA_CycleDays" sheetId="15" state="visible" r:id="rId15"/>
    <sheet xmlns:r="http://schemas.openxmlformats.org/officeDocument/2006/relationships" name="Customer_Defect_Themes" sheetId="16" state="visible" r:id="rId16"/>
    <sheet xmlns:r="http://schemas.openxmlformats.org/officeDocument/2006/relationships" name="Rework_Reopen_Proxy" sheetId="17" state="visible" r:id="rId17"/>
    <sheet xmlns:r="http://schemas.openxmlformats.org/officeDocument/2006/relationships" name="Tickets_Master_Krishna" sheetId="18" state="visible" r:id="rId18"/>
    <sheet xmlns:r="http://schemas.openxmlformats.org/officeDocument/2006/relationships" name="Q3-2025_Tickets" sheetId="19" state="visible" r:id="rId19"/>
    <sheet xmlns:r="http://schemas.openxmlformats.org/officeDocument/2006/relationships" name="Q3-2025_Ticket_Summary" sheetId="20" state="visible" r:id="rId20"/>
    <sheet xmlns:r="http://schemas.openxmlformats.org/officeDocument/2006/relationships" name="Q4-2025_Tickets" sheetId="21" state="visible" r:id="rId21"/>
    <sheet xmlns:r="http://schemas.openxmlformats.org/officeDocument/2006/relationships" name="Q4-2025_Ticket_Summary" sheetId="22" state="visible" r:id="rId22"/>
    <sheet xmlns:r="http://schemas.openxmlformats.org/officeDocument/2006/relationships" name="Q1-2026_Tickets" sheetId="23" state="visible" r:id="rId23"/>
    <sheet xmlns:r="http://schemas.openxmlformats.org/officeDocument/2006/relationships" name="Q1-2026_Ticket_Summary" sheetId="24" state="visible" r:id="rId24"/>
    <sheet xmlns:r="http://schemas.openxmlformats.org/officeDocument/2006/relationships" name="Q2-2026_Tickets" sheetId="25" state="visible" r:id="rId25"/>
    <sheet xmlns:r="http://schemas.openxmlformats.org/officeDocument/2006/relationships" name="Q2-2026_Ticket_Summary" sheetId="26" state="visible" r:id="rId26"/>
  </sheets>
  <definedNames>
    <definedName name="_xlnm._FilterDatabase" localSheetId="0" hidden="1">'Document_Summary'!$A$2:$C$10</definedName>
    <definedName name="_xlnm._FilterDatabase" localSheetId="5" hidden="1">'Krishna_OKR_Checklist'!$A$1:$J$13</definedName>
  </definedNames>
  <calcPr calcId="0" fullCalcOnLoad="1"/>
</workbook>
</file>

<file path=xl/styles.xml><?xml version="1.0" encoding="utf-8"?>
<styleSheet xmlns="http://schemas.openxmlformats.org/spreadsheetml/2006/main">
  <numFmts count="2">
    <numFmt numFmtId="164" formatCode="yyyy\-mm\-dd"/>
    <numFmt numFmtId="165" formatCode="yyyy\-mm\-dd\ h:mm:ss"/>
  </numFmts>
  <fonts count="17">
    <font>
      <name val="Calibri"/>
      <family val="2"/>
      <color theme="1"/>
      <sz val="11"/>
      <scheme val="minor"/>
    </font>
    <font>
      <name val="Calibri"/>
      <b val="1"/>
      <color rgb="FF002060"/>
      <sz val="13"/>
    </font>
    <font>
      <name val="Calibri"/>
      <b val="1"/>
      <color rgb="FF002060"/>
      <sz val="11"/>
    </font>
    <font>
      <name val="Calibri"/>
      <family val="2"/>
      <color theme="10"/>
      <sz val="12"/>
      <scheme val="minor"/>
    </font>
    <font>
      <name val="Calibri"/>
      <b val="1"/>
      <sz val="11"/>
    </font>
    <font>
      <name val="Calibri"/>
      <b val="1"/>
      <color rgb="FF002060"/>
      <sz val="14"/>
    </font>
    <font>
      <name val="Calibri"/>
      <family val="2"/>
      <b val="1"/>
      <color theme="1"/>
      <sz val="11"/>
      <scheme val="minor"/>
    </font>
    <font>
      <name val="Calibri"/>
      <color rgb="FF000000"/>
      <sz val="11"/>
    </font>
    <font>
      <name val="Calibri"/>
      <b val="1"/>
      <color rgb="FF000000"/>
      <sz val="11"/>
    </font>
    <font>
      <name val="Calibri"/>
      <color rgb="FF000000"/>
      <sz val="11"/>
    </font>
    <font>
      <name val="Calibri"/>
      <color rgb="FF0563C1"/>
      <sz val="11"/>
      <u val="single"/>
    </font>
    <font>
      <name val="Calibri"/>
      <color rgb="FF0563C1"/>
      <sz val="11"/>
      <u val="single"/>
    </font>
    <font>
      <name val="Calibri"/>
      <b val="1"/>
      <color rgb="FFFFFFFF"/>
      <sz val="11"/>
    </font>
    <font>
      <name val="Calibri"/>
      <b val="1"/>
      <color rgb="FF000000"/>
      <sz val="11"/>
    </font>
    <font>
      <name val="Calibri"/>
      <color rgb="FF000000"/>
      <sz val="11"/>
    </font>
    <font>
      <b val="1"/>
    </font>
    <font>
      <name val="Calibri"/>
      <sz val="11"/>
    </font>
  </fonts>
  <fills count="11">
    <fill>
      <patternFill/>
    </fill>
    <fill>
      <patternFill patternType="gray125"/>
    </fill>
    <fill>
      <patternFill patternType="solid">
        <fgColor rgb="FF002060"/>
      </patternFill>
    </fill>
    <fill>
      <patternFill patternType="solid">
        <fgColor rgb="FFFFF2CC"/>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1F4E79"/>
      </patternFill>
    </fill>
    <fill>
      <patternFill patternType="solid">
        <fgColor rgb="FFC6EFCE"/>
      </patternFill>
    </fill>
    <fill>
      <patternFill patternType="solid">
        <fgColor rgb="FFFFC7CE"/>
      </patternFill>
    </fill>
    <fill>
      <patternFill patternType="solid">
        <fgColor rgb="FFFFF2CC"/>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0B0B0"/>
      </left>
      <right style="thin">
        <color rgb="FFB0B0B0"/>
      </right>
      <top style="thin">
        <color rgb="FFB0B0B0"/>
      </top>
      <bottom style="thin">
        <color rgb="FFB0B0B0"/>
      </bottom>
      <diagonal/>
    </border>
    <border>
      <left style="thin">
        <color indexed="64"/>
      </left>
      <right style="thin">
        <color indexed="64"/>
      </right>
      <top style="thin">
        <color indexed="64"/>
      </top>
      <bottom style="thin">
        <color indexed="64"/>
      </bottom>
      <diagonal/>
    </border>
    <border>
      <left style="thin">
        <color rgb="FFB0B0B0"/>
      </left>
      <right style="thin">
        <color rgb="FFB0B0B0"/>
      </right>
      <top style="thin">
        <color rgb="FFB0B0B0"/>
      </top>
      <bottom style="thin">
        <color rgb="FFB0B0B0"/>
      </bottom>
      <diagonal/>
    </border>
  </borders>
  <cellStyleXfs count="2">
    <xf numFmtId="0" fontId="0" fillId="0" borderId="0"/>
    <xf numFmtId="0" fontId="3" fillId="0" borderId="0"/>
  </cellStyleXfs>
  <cellXfs count="62">
    <xf numFmtId="0" fontId="0" fillId="0" borderId="0" pivotButton="0" quotePrefix="0" xfId="0"/>
    <xf numFmtId="0" fontId="0" fillId="0" borderId="1" applyAlignment="1" pivotButton="0" quotePrefix="0" xfId="0">
      <alignment vertical="top" wrapText="1"/>
    </xf>
    <xf numFmtId="0" fontId="1" fillId="0" borderId="0" pivotButton="0" quotePrefix="0" xfId="0"/>
    <xf numFmtId="0" fontId="2" fillId="0" borderId="0" pivotButton="0" quotePrefix="0" xfId="0"/>
    <xf numFmtId="0"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0" fontId="4" fillId="0" borderId="0" pivotButton="0" quotePrefix="0" xfId="0"/>
    <xf numFmtId="0" fontId="0" fillId="0" borderId="2" applyAlignment="1" pivotButton="0" quotePrefix="0" xfId="0">
      <alignment vertical="top" wrapText="1"/>
    </xf>
    <xf numFmtId="0" fontId="0" fillId="0" borderId="3" applyAlignment="1" pivotButton="0" quotePrefix="0" xfId="0">
      <alignment vertical="top" wrapText="1"/>
    </xf>
    <xf numFmtId="0" fontId="4" fillId="0" borderId="3" pivotButton="0" quotePrefix="0" xfId="0"/>
    <xf numFmtId="0" fontId="0" fillId="0" borderId="3" pivotButton="0" quotePrefix="0" xfId="0"/>
    <xf numFmtId="0" fontId="6" fillId="0" borderId="0" pivotButton="0" quotePrefix="0" xfId="0"/>
    <xf numFmtId="0" fontId="7" fillId="0" borderId="3" applyAlignment="1" pivotButton="0" quotePrefix="0" xfId="0">
      <alignment vertical="top" wrapText="1"/>
    </xf>
    <xf numFmtId="0" fontId="7" fillId="0" borderId="3" pivotButton="0" quotePrefix="0" xfId="0"/>
    <xf numFmtId="0" fontId="7" fillId="0" borderId="0" pivotButton="0" quotePrefix="0" xfId="0"/>
    <xf numFmtId="0" fontId="10" fillId="0" borderId="3" applyAlignment="1" pivotButton="0" quotePrefix="0" xfId="0">
      <alignment vertical="top" wrapText="1"/>
    </xf>
    <xf numFmtId="0" fontId="9" fillId="4" borderId="3" applyAlignment="1" pivotButton="0" quotePrefix="0" xfId="0">
      <alignment vertical="top" wrapText="1"/>
    </xf>
    <xf numFmtId="0" fontId="10" fillId="0" borderId="0" pivotButton="0" quotePrefix="0" xfId="0"/>
    <xf numFmtId="0" fontId="8" fillId="5" borderId="0" applyAlignment="1" pivotButton="0" quotePrefix="0" xfId="0">
      <alignment horizontal="center" vertical="center" wrapText="1"/>
    </xf>
    <xf numFmtId="0" fontId="8" fillId="6" borderId="0" applyAlignment="1" pivotButton="0" quotePrefix="0" xfId="0">
      <alignment horizontal="center" vertical="center" wrapText="1"/>
    </xf>
    <xf numFmtId="0" fontId="8" fillId="0" borderId="0" pivotButton="0" quotePrefix="0" xfId="0"/>
    <xf numFmtId="0" fontId="8" fillId="5" borderId="1" applyAlignment="1" pivotButton="0" quotePrefix="0" xfId="0">
      <alignment horizontal="center" vertical="center" wrapText="1"/>
    </xf>
    <xf numFmtId="0" fontId="10" fillId="0" borderId="0" applyAlignment="1" pivotButton="0" quotePrefix="0" xfId="0">
      <alignment vertical="top" wrapText="1"/>
    </xf>
    <xf numFmtId="0" fontId="8" fillId="3" borderId="0" pivotButton="0" quotePrefix="0" xfId="0"/>
    <xf numFmtId="0" fontId="8" fillId="2" borderId="1" applyAlignment="1" pivotButton="0" quotePrefix="0" xfId="0">
      <alignment horizontal="center" vertical="center" wrapText="1"/>
    </xf>
    <xf numFmtId="0" fontId="8" fillId="3" borderId="0" applyAlignment="1" pivotButton="0" quotePrefix="0" xfId="0">
      <alignment vertical="top" wrapText="1"/>
    </xf>
    <xf numFmtId="0" fontId="10" fillId="0" borderId="0" pivotButton="0" quotePrefix="0" xfId="1"/>
    <xf numFmtId="0" fontId="8" fillId="2" borderId="0" applyAlignment="1" pivotButton="0" quotePrefix="0" xfId="0">
      <alignment vertical="top" wrapText="1"/>
    </xf>
    <xf numFmtId="0" fontId="8" fillId="5" borderId="2" applyAlignment="1" pivotButton="0" quotePrefix="0" xfId="0">
      <alignment horizontal="center" vertical="center" wrapText="1"/>
    </xf>
    <xf numFmtId="0" fontId="8" fillId="2" borderId="1" applyAlignment="1" pivotButton="0" quotePrefix="0" xfId="0">
      <alignment vertical="top" wrapText="1"/>
    </xf>
    <xf numFmtId="164" fontId="8" fillId="2" borderId="1" applyAlignment="1" pivotButton="0" quotePrefix="0" xfId="0">
      <alignment vertical="top" wrapText="1"/>
    </xf>
    <xf numFmtId="0" fontId="10" fillId="0" borderId="3" applyAlignment="1" pivotButton="0" quotePrefix="0" xfId="1">
      <alignment vertical="top" wrapText="1"/>
    </xf>
    <xf numFmtId="0" fontId="12" fillId="7" borderId="3" applyAlignment="1" pivotButton="0" quotePrefix="0" xfId="0">
      <alignment horizontal="center" vertical="center" wrapText="1"/>
    </xf>
    <xf numFmtId="0" fontId="14" fillId="0" borderId="3" applyAlignment="1" pivotButton="0" quotePrefix="0" xfId="0">
      <alignment vertical="top" wrapText="1"/>
    </xf>
    <xf numFmtId="0" fontId="13" fillId="8" borderId="3" applyAlignment="1" pivotButton="0" quotePrefix="0" xfId="0">
      <alignment horizontal="center"/>
    </xf>
    <xf numFmtId="0" fontId="13" fillId="10" borderId="3" applyAlignment="1" pivotButton="0" quotePrefix="0" xfId="0">
      <alignment vertical="top" wrapText="1"/>
    </xf>
    <xf numFmtId="0" fontId="13" fillId="10" borderId="3" applyAlignment="1" pivotButton="0" quotePrefix="0" xfId="0">
      <alignment horizontal="center"/>
    </xf>
    <xf numFmtId="0" fontId="13" fillId="10" borderId="3" applyAlignment="1" pivotButton="0" quotePrefix="0" xfId="0">
      <alignment horizontal="center" vertical="center"/>
    </xf>
    <xf numFmtId="0" fontId="13" fillId="0" borderId="0" pivotButton="0" quotePrefix="0" xfId="0"/>
    <xf numFmtId="0" fontId="14" fillId="0" borderId="0" pivotButton="0" quotePrefix="0" xfId="0"/>
    <xf numFmtId="0" fontId="12" fillId="7" borderId="4" applyAlignment="1" pivotButton="0" quotePrefix="0" xfId="0">
      <alignment horizontal="center" vertical="center" wrapText="1"/>
    </xf>
    <xf numFmtId="0" fontId="13" fillId="0" borderId="0" applyAlignment="1" pivotButton="0" quotePrefix="0" xfId="0">
      <alignment horizontal="center" vertical="center" wrapText="1"/>
    </xf>
    <xf numFmtId="0" fontId="13" fillId="8" borderId="0" applyAlignment="1" pivotButton="0" quotePrefix="0" xfId="0">
      <alignment horizontal="center" vertical="center" wrapText="1"/>
    </xf>
    <xf numFmtId="0" fontId="13" fillId="9" borderId="0" pivotButton="0" quotePrefix="0" xfId="0"/>
    <xf numFmtId="0" fontId="13" fillId="0" borderId="0" applyAlignment="1" pivotButton="0" quotePrefix="0" xfId="0">
      <alignment vertical="top" wrapText="1"/>
    </xf>
    <xf numFmtId="0" fontId="14" fillId="0" borderId="0" applyAlignment="1" pivotButton="0" quotePrefix="0" xfId="0">
      <alignment vertical="top" wrapText="1"/>
    </xf>
    <xf numFmtId="0" fontId="8" fillId="0" borderId="0" applyAlignment="1" pivotButton="0" quotePrefix="0" xfId="0">
      <alignment horizontal="center" vertical="center" wrapText="1"/>
    </xf>
    <xf numFmtId="0" fontId="13" fillId="8" borderId="0" pivotButton="0" quotePrefix="0" xfId="0"/>
    <xf numFmtId="0" fontId="11" fillId="0" borderId="0" pivotButton="0" quotePrefix="0" xfId="0"/>
    <xf numFmtId="0" fontId="13" fillId="8" borderId="0" applyAlignment="1" pivotButton="0" quotePrefix="0" xfId="0">
      <alignment horizontal="center"/>
    </xf>
    <xf numFmtId="0" fontId="13" fillId="10" borderId="0" applyAlignment="1" pivotButton="0" quotePrefix="0" xfId="0">
      <alignment vertical="top" wrapText="1"/>
    </xf>
    <xf numFmtId="0" fontId="8" fillId="0" borderId="1" applyAlignment="1" pivotButton="0" quotePrefix="0" xfId="0">
      <alignment horizontal="center" vertical="center" wrapText="1"/>
    </xf>
    <xf numFmtId="0" fontId="8" fillId="0" borderId="0" applyAlignment="1" pivotButton="0" quotePrefix="0" xfId="0">
      <alignment wrapText="1"/>
    </xf>
    <xf numFmtId="165" fontId="14" fillId="0" borderId="0" pivotButton="0" quotePrefix="0" xfId="0"/>
    <xf numFmtId="0" fontId="14" fillId="0" borderId="0" applyAlignment="1" pivotButton="0" quotePrefix="0" xfId="0">
      <alignment vertical="top" wrapText="1"/>
    </xf>
    <xf numFmtId="0" fontId="0" fillId="0" borderId="0" pivotButton="0" quotePrefix="0" xfId="0"/>
    <xf numFmtId="0" fontId="8" fillId="3" borderId="0" pivotButton="0" quotePrefix="0" xfId="0"/>
    <xf numFmtId="0" fontId="8" fillId="3" borderId="0" applyAlignment="1" pivotButton="0" quotePrefix="0" xfId="0">
      <alignment vertical="top" wrapText="1"/>
    </xf>
    <xf numFmtId="0" fontId="5" fillId="0" borderId="0" pivotButton="0" quotePrefix="0" xfId="0"/>
    <xf numFmtId="0" fontId="15" fillId="0" borderId="0" applyAlignment="1" pivotButton="0" quotePrefix="0" xfId="0">
      <alignment vertical="top" wrapText="1"/>
    </xf>
    <xf numFmtId="0" fontId="16" fillId="0" borderId="3" applyAlignment="1" pivotButton="0" quotePrefix="0" xfId="0">
      <alignment horizontal="left" vertical="center"/>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hyperlink" Target="https://bitbucket.org/msnalashaa/performance-learning-development/src/main/" TargetMode="External" Id="rId1"/><Relationship Type="http://schemas.openxmlformats.org/officeDocument/2006/relationships/hyperlink" Target="https://bitbucket.org/msnalashaa/performance-learning-development/src/main/" TargetMode="External" Id="rId2"/></Relationships>
</file>

<file path=xl/worksheets/_rels/sheet8.xml.rels><Relationships xmlns="http://schemas.openxmlformats.org/package/2006/relationships"><Relationship Type="http://schemas.openxmlformats.org/officeDocument/2006/relationships/hyperlink" Target="https://bitbucket.org/msnalashaa/performance-learning-development/src/main/" TargetMode="External" Id="rId1"/><Relationship Type="http://schemas.openxmlformats.org/officeDocument/2006/relationships/hyperlink" Target="https://bitbucket.org/msnalashaa/performance-learning-development/src/main/" TargetMode="External" Id="rId2"/></Relationships>
</file>

<file path=xl/worksheets/sheet1.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12" customWidth="1" style="56" min="1" max="1"/>
    <col width="18" customWidth="1" style="56" min="2" max="2"/>
    <col width="120" customWidth="1" style="56" min="3" max="3"/>
  </cols>
  <sheetData>
    <row r="1" ht="24" customHeight="1" s="56">
      <c r="A1" s="60" t="inlineStr">
        <is>
          <t>Krishna OKR checklist — document summary</t>
        </is>
      </c>
    </row>
    <row r="2">
      <c r="A2" s="60" t="inlineStr">
        <is>
          <t>Version</t>
        </is>
      </c>
      <c r="B2" s="60" t="inlineStr">
        <is>
          <t>Area</t>
        </is>
      </c>
      <c r="C2" s="60" t="inlineStr">
        <is>
          <t>Change</t>
        </is>
      </c>
    </row>
    <row r="3" ht="48" customHeight="1" s="56">
      <c r="A3" s="4" t="inlineStr">
        <is>
          <t>0.2</t>
        </is>
      </c>
      <c r="B3" s="4" t="inlineStr">
        <is>
          <t>Pack</t>
        </is>
      </c>
      <c r="C3" s="4" t="inlineStr">
        <is>
          <t>Review copy. Full-year KPI weights. Each quarter was shown as 100 out of 100. This file is Krishna_OKR_Checklist_Linked_v0.2.xlsx and is unchanged.</t>
        </is>
      </c>
    </row>
    <row r="4" ht="48" customHeight="1" s="56">
      <c r="A4" s="4" t="inlineStr">
        <is>
          <t>0.3</t>
        </is>
      </c>
      <c r="B4" s="4" t="inlineStr">
        <is>
          <t>KPI weight</t>
        </is>
      </c>
      <c r="C4" s="4" t="inlineStr">
        <is>
          <t>Weight is only for the two quarters in scope: annual weight / 4 x 2. 2025 is 58/12/16/14. 2026 is 30/50/20.</t>
        </is>
      </c>
    </row>
    <row r="5" ht="48" customHeight="1" s="56">
      <c r="A5" s="4" t="inlineStr">
        <is>
          <t>0.3</t>
        </is>
      </c>
      <c r="B5" s="4" t="inlineStr">
        <is>
          <t>Score rule</t>
        </is>
      </c>
      <c r="C5" s="4" t="inlineStr">
        <is>
          <t>A KPI marked Yes gets the full quarter weight (annual / 4). A KPI marked No gets 0. A blank quarter is not scored as zero.</t>
        </is>
      </c>
    </row>
    <row r="6" ht="48" customHeight="1" s="56">
      <c r="A6" s="4" t="inlineStr">
        <is>
          <t>0.3</t>
        </is>
      </c>
      <c r="B6" s="4" t="inlineStr">
        <is>
          <t>2025 score</t>
        </is>
      </c>
      <c r="C6" s="4" t="inlineStr">
        <is>
          <t>Q3-2025 = 25 and Q4-2025 = 25. Quarter weights: Project Delivery 14.5, Process Adherance 3, External Bug Count 4, Self Learning 3.5. Q3 stays Yes because it was training / KT with a PM Yes, even though ticket actuals are 0.</t>
        </is>
      </c>
    </row>
    <row r="7" ht="48" customHeight="1" s="56">
      <c r="A7" s="4" t="inlineStr">
        <is>
          <t>0.3</t>
        </is>
      </c>
      <c r="B7" s="4" t="inlineStr">
        <is>
          <t>2026 score</t>
        </is>
      </c>
      <c r="C7" s="4" t="inlineStr">
        <is>
          <t>Q1-2026 = 25 and Q2-2026 = 25. Quarter weights: Execution 7.5, Quality 12.5, Learning &amp; Development 5. The two Quality checklist lines are 6.25 each. Q3-2026 and Q4-2026 stay unassessed.</t>
        </is>
      </c>
    </row>
    <row r="8" ht="48" customHeight="1" s="56">
      <c r="A8" s="4" t="inlineStr">
        <is>
          <t>0.3</t>
        </is>
      </c>
      <c r="B8" s="4" t="inlineStr">
        <is>
          <t>Links</t>
        </is>
      </c>
      <c r="C8" s="4" t="inlineStr">
        <is>
          <t>Each OKR link opens the first checklist line for that KPI and quarter. Quarters with no checklist line stay on row 1.</t>
        </is>
      </c>
    </row>
    <row r="9" ht="48" customHeight="1" s="56">
      <c r="A9" s="4" t="inlineStr">
        <is>
          <t>0.3</t>
        </is>
      </c>
      <c r="B9" s="4" t="inlineStr">
        <is>
          <t>Tickets</t>
        </is>
      </c>
      <c r="C9" s="4" t="inlineStr">
        <is>
          <t>Ticket 35062 cycle days are 42 (11 Feb 2026 to 25 Mar 2026). Its 45 code lines are counted in Q1-2026, not Q2-2026. Ticket 32233 stays twice: In Progress in Q1-2026 and Closed in Q3-2026.</t>
        </is>
      </c>
    </row>
    <row r="10" ht="48" customHeight="1" s="56">
      <c r="A10" s="4" t="inlineStr">
        <is>
          <t>0.3</t>
        </is>
      </c>
      <c r="B10" s="4" t="inlineStr">
        <is>
          <t>Final score</t>
        </is>
      </c>
      <c r="C10" s="4" t="inlineStr">
        <is>
          <t>Expected 100. Achieved 100 (2025: 50, 2026: 50). Employee ID stays blank.</t>
        </is>
      </c>
    </row>
  </sheetData>
  <autoFilter ref="A2:C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
  <sheetViews>
    <sheetView topLeftCell="E1" workbookViewId="0">
      <selection activeCell="E11" sqref="E11"/>
    </sheetView>
  </sheetViews>
  <sheetFormatPr baseColWidth="8" defaultRowHeight="15"/>
  <cols>
    <col width="32" bestFit="1" customWidth="1" style="56" min="1" max="1"/>
    <col width="12" customWidth="1" style="56" min="2" max="2"/>
    <col width="15.28515625" bestFit="1" customWidth="1" style="56" min="3" max="3"/>
    <col width="12" customWidth="1" style="56" min="4" max="5"/>
    <col width="34" customWidth="1" style="56" min="6" max="6"/>
    <col width="20.7109375" bestFit="1" customWidth="1" style="56" min="7" max="7"/>
    <col width="12" customWidth="1" style="56" min="8" max="8"/>
    <col width="26" customWidth="1" style="56" min="9" max="9"/>
    <col width="34" customWidth="1" style="56" min="10" max="11"/>
    <col width="12" customWidth="1" style="56" min="12" max="12"/>
    <col width="26" customWidth="1" style="56" min="13" max="13"/>
    <col width="34" customWidth="1" style="56" min="14" max="15"/>
    <col width="12" customWidth="1" style="56" min="16" max="16"/>
    <col width="26" customWidth="1" style="56" min="17" max="17"/>
    <col width="12" customWidth="1" style="56" min="18" max="18"/>
  </cols>
  <sheetData>
    <row r="1" ht="30" customHeight="1" s="56">
      <c r="A1" s="33" t="inlineStr">
        <is>
          <t>KPI</t>
        </is>
      </c>
      <c r="B1" s="33" t="inlineStr">
        <is>
          <t>EmployeeID</t>
        </is>
      </c>
      <c r="C1" s="33" t="inlineStr">
        <is>
          <t>EmployeeName</t>
        </is>
      </c>
      <c r="D1" s="33" t="inlineStr">
        <is>
          <t>Weightage</t>
        </is>
      </c>
      <c r="E1" s="33" t="inlineStr">
        <is>
          <t>Year</t>
        </is>
      </c>
      <c r="F1" s="33" t="inlineStr">
        <is>
          <t>Q3Target</t>
        </is>
      </c>
      <c r="G1" s="33" t="inlineStr">
        <is>
          <t>Q3Actual</t>
        </is>
      </c>
      <c r="H1" s="33" t="inlineStr">
        <is>
          <t>Q3Achieved</t>
        </is>
      </c>
      <c r="I1" s="33" t="inlineStr">
        <is>
          <t>OKR Link</t>
        </is>
      </c>
      <c r="J1" s="33" t="inlineStr">
        <is>
          <t>Q4Target</t>
        </is>
      </c>
      <c r="K1" s="33" t="inlineStr">
        <is>
          <t>Q4Actual</t>
        </is>
      </c>
      <c r="L1" s="33" t="inlineStr">
        <is>
          <t>Q4Achieved</t>
        </is>
      </c>
      <c r="M1" s="33" t="inlineStr">
        <is>
          <t>OKR Link</t>
        </is>
      </c>
      <c r="N1" s="33" t="inlineStr">
        <is>
          <t>Title</t>
        </is>
      </c>
    </row>
    <row r="2" ht="56.1" customHeight="1" s="56">
      <c r="A2" s="9" t="inlineStr">
        <is>
          <t>Project Delivery</t>
        </is>
      </c>
      <c r="B2" s="61" t="n">
        <v>2012</v>
      </c>
      <c r="C2" s="11" t="inlineStr">
        <is>
          <t>Krishna</t>
        </is>
      </c>
      <c r="D2" s="9">
        <f>58/4*2</f>
        <v/>
      </c>
      <c r="E2" s="9" t="n">
        <v>2025</v>
      </c>
      <c r="F2" s="9" t="inlineStr">
        <is>
          <t>More &gt;85% alignment with Project delivery checklist</t>
        </is>
      </c>
      <c r="G2" s="34" t="inlineStr">
        <is>
          <t>0 closed (target 8) — under training/KT; PM Yes</t>
        </is>
      </c>
      <c r="H2" s="35" t="inlineStr">
        <is>
          <t>Yes</t>
        </is>
      </c>
      <c r="I2" s="16" t="inlineStr">
        <is>
          <t>Krishna_OKR_Checklist!A10</t>
        </is>
      </c>
      <c r="J2" s="9" t="inlineStr">
        <is>
          <t>More &gt;85% alignment with Project delivery checklist</t>
        </is>
      </c>
      <c r="K2" s="34" t="inlineStr">
        <is>
          <t>7 closed (target 3)</t>
        </is>
      </c>
      <c r="L2" s="35" t="inlineStr">
        <is>
          <t>Yes</t>
        </is>
      </c>
      <c r="M2" s="16" t="inlineStr">
        <is>
          <t>Krishna_OKR_Checklist!A14</t>
        </is>
      </c>
      <c r="N2" s="9" t="inlineStr">
        <is>
          <t>TSE</t>
        </is>
      </c>
    </row>
    <row r="3" ht="56.1" customHeight="1" s="56">
      <c r="A3" s="9" t="inlineStr">
        <is>
          <t>Process Adherance</t>
        </is>
      </c>
      <c r="B3" s="61" t="n">
        <v>2012</v>
      </c>
      <c r="C3" s="9" t="inlineStr">
        <is>
          <t>Krishna</t>
        </is>
      </c>
      <c r="D3" s="9">
        <f>12/4*2</f>
        <v/>
      </c>
      <c r="E3" s="9" t="n">
        <v>2025</v>
      </c>
      <c r="F3" s="9" t="inlineStr">
        <is>
          <t>More &gt; 90% discipline to be followed for Process Checklist</t>
        </is>
      </c>
      <c r="G3" s="34" t="inlineStr">
        <is>
          <t>Tickets in qtr=0; closed=0 — see Helpdesk_Discipline</t>
        </is>
      </c>
      <c r="H3" s="35" t="inlineStr">
        <is>
          <t>Yes</t>
        </is>
      </c>
      <c r="I3" s="16" t="inlineStr">
        <is>
          <t>Krishna_OKR_Checklist!A11</t>
        </is>
      </c>
      <c r="J3" s="9" t="inlineStr">
        <is>
          <t>More &gt; 90% discipline to be followed for Process Checklist</t>
        </is>
      </c>
      <c r="K3" s="34" t="inlineStr">
        <is>
          <t>Tickets in qtr=7; closed=7 — see Helpdesk_Discipline</t>
        </is>
      </c>
      <c r="L3" s="35" t="inlineStr">
        <is>
          <t>Yes</t>
        </is>
      </c>
      <c r="M3" s="16" t="inlineStr">
        <is>
          <t>Krishna_OKR_Checklist!A15</t>
        </is>
      </c>
      <c r="N3" s="9" t="inlineStr">
        <is>
          <t>TSE</t>
        </is>
      </c>
    </row>
    <row r="4" ht="56.1" customHeight="1" s="56">
      <c r="A4" s="9" t="inlineStr">
        <is>
          <t>External Bug Count, Ticket Reopen</t>
        </is>
      </c>
      <c r="B4" s="61" t="n">
        <v>2012</v>
      </c>
      <c r="C4" s="9" t="inlineStr">
        <is>
          <t>Krishna</t>
        </is>
      </c>
      <c r="D4" s="9">
        <f>16/4*2</f>
        <v/>
      </c>
      <c r="E4" s="9" t="n">
        <v>2025</v>
      </c>
      <c r="F4" s="9" t="inlineStr">
        <is>
          <t>External bugs (Client reported) to be &lt;= 4 of total tickets delivered in quarter</t>
        </is>
      </c>
      <c r="G4" s="34" t="inlineStr">
        <is>
          <t>Closed=0; defect-themes=0; rework-proxy=0</t>
        </is>
      </c>
      <c r="H4" s="35" t="inlineStr">
        <is>
          <t>Yes</t>
        </is>
      </c>
      <c r="I4" s="16" t="inlineStr">
        <is>
          <t>Krishna_OKR_Checklist!A12</t>
        </is>
      </c>
      <c r="J4" s="9" t="inlineStr">
        <is>
          <t>External bugs (Client reported) to be &lt;= 4 of total tickets delivered in quarter</t>
        </is>
      </c>
      <c r="K4" s="34" t="inlineStr">
        <is>
          <t>Closed=7; defect-themes=0; rework-proxy=0</t>
        </is>
      </c>
      <c r="L4" s="35" t="inlineStr">
        <is>
          <t>Yes</t>
        </is>
      </c>
      <c r="M4" s="16" t="inlineStr">
        <is>
          <t>Krishna_OKR_Checklist!A16</t>
        </is>
      </c>
      <c r="N4" s="9" t="inlineStr">
        <is>
          <t>TSE</t>
        </is>
      </c>
    </row>
    <row r="5" ht="63.95" customHeight="1" s="56">
      <c r="A5" s="9" t="inlineStr">
        <is>
          <t>Self Learning</t>
        </is>
      </c>
      <c r="B5" s="61" t="n">
        <v>2012</v>
      </c>
      <c r="C5" s="9" t="inlineStr">
        <is>
          <t>Krishna</t>
        </is>
      </c>
      <c r="D5" s="9">
        <f>14/4*2</f>
        <v/>
      </c>
      <c r="E5" s="9" t="n">
        <v>2025</v>
      </c>
      <c r="F5" s="9" t="inlineStr">
        <is>
          <t>1 POC submission- Microsoft Login Accelerator / Helpdesk KT</t>
        </is>
      </c>
      <c r="G5" s="9" t="inlineStr">
        <is>
          <t>POC: Microsoft Authentication Accelerator — see Learning_Evidence (problem/AC/tech). Source: PMS/Krishna/Krishnaraj_POC_25-26.xlsx</t>
        </is>
      </c>
      <c r="H5" s="35" t="inlineStr">
        <is>
          <t>Yes</t>
        </is>
      </c>
      <c r="I5" s="16" t="inlineStr">
        <is>
          <t>Krishna_OKR_Checklist!A13</t>
        </is>
      </c>
      <c r="J5" s="9" t="inlineStr">
        <is>
          <t>1 POC submission- Microsoft Login Accelerator / Helpdesk KT</t>
        </is>
      </c>
      <c r="K5" s="9" t="inlineStr">
        <is>
          <t>POC: Resilient API Communication using Polly — see Learning_Evidence (problem/AC/tech). Source: PMS/Krishna/Krishnaraj_POC_25-26.xlsx</t>
        </is>
      </c>
      <c r="L5" s="35" t="inlineStr">
        <is>
          <t>Yes</t>
        </is>
      </c>
      <c r="M5" s="16" t="inlineStr">
        <is>
          <t>Krishna_OKR_Checklist!A17</t>
        </is>
      </c>
      <c r="N5" s="9" t="inlineStr">
        <is>
          <t>TSE</t>
        </is>
      </c>
    </row>
    <row r="6" ht="15.75" customHeight="1" s="56">
      <c r="A6" s="10" t="inlineStr">
        <is>
          <t>2 Quarter Sum (Expected)</t>
        </is>
      </c>
      <c r="B6" s="11" t="n"/>
      <c r="C6" s="11" t="n"/>
      <c r="D6" s="11">
        <f>SUM(D2:D5)</f>
        <v/>
      </c>
      <c r="E6" s="11" t="n">
        <v>2025</v>
      </c>
      <c r="F6" s="11" t="n"/>
      <c r="G6" s="36" t="inlineStr">
        <is>
          <t>25 / 25. Q3 stays Yes: training / KT, PM Yes, 0 tickets.</t>
        </is>
      </c>
      <c r="H6" s="37" t="n">
        <v>25</v>
      </c>
      <c r="I6" s="16" t="inlineStr">
        <is>
          <t>Krishna_OKR_Checklist!A1</t>
        </is>
      </c>
      <c r="J6" s="11" t="n"/>
      <c r="K6" s="36" t="inlineStr">
        <is>
          <t>25 / 25 weightage points</t>
        </is>
      </c>
      <c r="L6" s="38" t="n">
        <v>25</v>
      </c>
      <c r="M6" s="16" t="inlineStr">
        <is>
          <t>Krishna_OKR_Checklist!A1</t>
        </is>
      </c>
      <c r="N6" s="11" t="n"/>
    </row>
    <row r="7">
      <c r="A7" t="inlineStr">
        <is>
          <t>Achieved</t>
        </is>
      </c>
      <c r="B7" t="n">
        <v>50</v>
      </c>
      <c r="C7" t="inlineStr">
        <is>
          <t>50 = Q3 25 + Q4 25. Rule: Yes = full quarter weight, No = 0. Quarter weight = annual / 4: Project Delivery 14.5, Process Adherance 3, External Bugs 4, Self Learning 3.5.</t>
        </is>
      </c>
    </row>
  </sheetData>
  <hyperlinks>
    <hyperlink ref="I2" location="Krishna_OKR_Checklist!A10" display="Krishna_OKR_Checklist!A10"/>
    <hyperlink ref="M2" location="Krishna_OKR_Checklist!A14" display="Krishna_OKR_Checklist!A14"/>
    <hyperlink ref="I3" location="Krishna_OKR_Checklist!A11" display="Krishna_OKR_Checklist!A11"/>
    <hyperlink ref="M3" location="Krishna_OKR_Checklist!A15" display="Krishna_OKR_Checklist!A15"/>
    <hyperlink ref="I4" location="Krishna_OKR_Checklist!A12" display="Krishna_OKR_Checklist!A12"/>
    <hyperlink ref="M4" location="Krishna_OKR_Checklist!A16" display="Krishna_OKR_Checklist!A16"/>
    <hyperlink ref="I5" location="Krishna_OKR_Checklist!A13" display="Krishna_OKR_Checklist!A13"/>
    <hyperlink ref="M5" location="Krishna_OKR_Checklist!A17" display="Krishna_OKR_Checklist!A17"/>
    <hyperlink ref="I6" location="Krishna_OKR_Checklist!A1" display="Krishna_OKR_Checklist!A1"/>
    <hyperlink ref="M6" location="Krishna_OKR_Checklist!A1" display="Krishna_OKR_Checklist!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8"/>
  <sheetViews>
    <sheetView workbookViewId="0">
      <selection activeCell="Q3" sqref="Q3"/>
    </sheetView>
  </sheetViews>
  <sheetFormatPr baseColWidth="8" defaultRowHeight="15"/>
  <cols>
    <col width="24" customWidth="1" style="56" min="1" max="1"/>
    <col width="12" customWidth="1" style="56" min="2" max="2"/>
    <col width="17" customWidth="1" style="56" min="3" max="3"/>
    <col width="12" customWidth="1" style="56" min="4" max="5"/>
    <col width="34" customWidth="1" style="56" min="6" max="7"/>
    <col width="12" customWidth="1" style="56" min="8" max="8"/>
    <col width="26" customWidth="1" style="56" min="9" max="9"/>
    <col width="34" customWidth="1" style="56" min="10" max="11"/>
    <col width="12" customWidth="1" style="56" min="12" max="12"/>
    <col width="26" customWidth="1" style="56" min="13" max="13"/>
    <col width="34" customWidth="1" style="56" min="14" max="14"/>
    <col width="12" customWidth="1" style="56" min="15" max="16"/>
    <col width="26" customWidth="1" style="56" min="17" max="17"/>
    <col width="34" customWidth="1" style="56" min="18" max="18"/>
    <col width="12" customWidth="1" style="56" min="19" max="20"/>
    <col width="26" customWidth="1" style="56" min="21" max="21"/>
  </cols>
  <sheetData>
    <row r="1" ht="30" customHeight="1" s="56">
      <c r="A1" s="33" t="inlineStr">
        <is>
          <t>KPI</t>
        </is>
      </c>
      <c r="B1" s="33" t="inlineStr">
        <is>
          <t>EmployeeID</t>
        </is>
      </c>
      <c r="C1" s="33" t="inlineStr">
        <is>
          <t>EmployeeName</t>
        </is>
      </c>
      <c r="D1" s="33" t="inlineStr">
        <is>
          <t>Weightage</t>
        </is>
      </c>
      <c r="E1" s="33" t="inlineStr">
        <is>
          <t>Year</t>
        </is>
      </c>
      <c r="F1" s="33" t="inlineStr">
        <is>
          <t>Q1Target</t>
        </is>
      </c>
      <c r="G1" s="33" t="inlineStr">
        <is>
          <t>Q1Actual</t>
        </is>
      </c>
      <c r="H1" s="33" t="inlineStr">
        <is>
          <t>Q1Achieved</t>
        </is>
      </c>
      <c r="I1" s="33" t="inlineStr">
        <is>
          <t>OKR Link</t>
        </is>
      </c>
      <c r="J1" s="33" t="inlineStr">
        <is>
          <t>Q2Target</t>
        </is>
      </c>
      <c r="K1" s="33" t="inlineStr">
        <is>
          <t>Q2Actual</t>
        </is>
      </c>
      <c r="L1" s="33" t="inlineStr">
        <is>
          <t>Q2Achieved</t>
        </is>
      </c>
      <c r="M1" s="33" t="inlineStr">
        <is>
          <t>OKR Link</t>
        </is>
      </c>
      <c r="N1" s="33" t="inlineStr">
        <is>
          <t>Q3Target</t>
        </is>
      </c>
      <c r="O1" s="33" t="inlineStr">
        <is>
          <t>Q3Actual</t>
        </is>
      </c>
      <c r="P1" s="33" t="inlineStr">
        <is>
          <t>Q3Achieved</t>
        </is>
      </c>
      <c r="Q1" s="33" t="inlineStr">
        <is>
          <t>OKR Link</t>
        </is>
      </c>
      <c r="R1" s="33" t="inlineStr">
        <is>
          <t>Q4Target</t>
        </is>
      </c>
      <c r="S1" s="33" t="inlineStr">
        <is>
          <t>Q4Actual</t>
        </is>
      </c>
      <c r="T1" s="33" t="inlineStr">
        <is>
          <t>Q4Achieved</t>
        </is>
      </c>
      <c r="U1" s="33" t="inlineStr">
        <is>
          <t>OKR Link</t>
        </is>
      </c>
    </row>
    <row r="2" ht="63.95" customHeight="1" s="56">
      <c r="A2" s="9" t="inlineStr">
        <is>
          <t>Execution</t>
        </is>
      </c>
      <c r="B2" s="61" t="n">
        <v>2012</v>
      </c>
      <c r="C2" s="9" t="inlineStr">
        <is>
          <t>Krishna</t>
        </is>
      </c>
      <c r="D2" s="9">
        <f>30/4*2</f>
        <v/>
      </c>
      <c r="E2" s="9" t="n">
        <v>2026</v>
      </c>
      <c r="F2" s="9" t="inlineStr">
        <is>
          <t>≥8 tickets/tasks to Production (~2.5/month); QA handoffs within sprint dates; ≤2 slippages; deployment evidence in Helpdesk Plus.</t>
        </is>
      </c>
      <c r="G2" s="34" t="inlineStr">
        <is>
          <t>8 closed (target 8)</t>
        </is>
      </c>
      <c r="H2" s="35" t="inlineStr">
        <is>
          <t>Yes</t>
        </is>
      </c>
      <c r="I2" s="16" t="inlineStr">
        <is>
          <t>Krishna_OKR_Checklist!A2</t>
        </is>
      </c>
      <c r="J2" s="9" t="inlineStr">
        <is>
          <t>≥12 tickets/tasks to Production (~4/month); estimation within ±10%; on-time handoff to QA; proactive delay risks.</t>
        </is>
      </c>
      <c r="K2" s="34" t="inlineStr">
        <is>
          <t>19 closed (target 12)</t>
        </is>
      </c>
      <c r="L2" s="35" t="inlineStr">
        <is>
          <t>Yes</t>
        </is>
      </c>
      <c r="M2" s="16" t="inlineStr">
        <is>
          <t>Krishna_OKR_Checklist!A6</t>
        </is>
      </c>
      <c r="N2" s="9" t="inlineStr">
        <is>
          <t>≥14 tickets/tasks to Production (~4–5/month); ≤2 slippages/quarter; blockers cleared within 72h.</t>
        </is>
      </c>
      <c r="O2" s="9" t="n"/>
      <c r="P2" s="13" t="n"/>
      <c r="Q2" s="16" t="inlineStr">
        <is>
          <t>Krishna_OKR_Checklist!A1</t>
        </is>
      </c>
      <c r="R2" s="9" t="inlineStr">
        <is>
          <t>≥16 tickets/tasks to Production (~5+/month); zero uncommunicated delays; release documentation complete.</t>
        </is>
      </c>
      <c r="S2" s="9" t="n"/>
      <c r="T2" s="13" t="n"/>
      <c r="U2" s="16" t="inlineStr">
        <is>
          <t>Krishna_OKR_Checklist!A1</t>
        </is>
      </c>
    </row>
    <row r="3" ht="63.95" customHeight="1" s="56">
      <c r="A3" s="9" t="inlineStr">
        <is>
          <t>Quality</t>
        </is>
      </c>
      <c r="B3" s="61" t="n">
        <v>2012</v>
      </c>
      <c r="C3" s="9" t="inlineStr">
        <is>
          <t>Krishna</t>
        </is>
      </c>
      <c r="D3" s="9">
        <f>50/4*2</f>
        <v/>
      </c>
      <c r="E3" s="9" t="n">
        <v>2026</v>
      </c>
      <c r="F3" s="9" t="inlineStr">
        <is>
          <t>Quality Score card &gt;=80% — &gt;95% Helpdesk Plus process adherence; ≤20 rework tickets; zero critical/major escapes; PR template 100%; test evidence on complex items.</t>
        </is>
      </c>
      <c r="G3" s="34" t="inlineStr">
        <is>
          <t>Closed=8; defect-themes=2; rework-proxy=0</t>
        </is>
      </c>
      <c r="H3" s="35" t="inlineStr">
        <is>
          <t>Yes</t>
        </is>
      </c>
      <c r="I3" s="16" t="inlineStr">
        <is>
          <t>Krishna_OKR_Checklist!A3</t>
        </is>
      </c>
      <c r="J3" s="9" t="inlineStr">
        <is>
          <t>Quality Score card &gt;=80% — &gt;95% process adherence; ≤15 rework tickets; peer review clean on deltas; one quality improvement logged.</t>
        </is>
      </c>
      <c r="K3" s="34" t="inlineStr">
        <is>
          <t>Closed=19; defect-themes=2; rework-proxy=0</t>
        </is>
      </c>
      <c r="L3" s="35" t="inlineStr">
        <is>
          <t>Yes</t>
        </is>
      </c>
      <c r="M3" s="16" t="inlineStr">
        <is>
          <t>Krishna_OKR_Checklist!A7</t>
        </is>
      </c>
      <c r="N3" s="9" t="inlineStr">
        <is>
          <t>Quality Score card &gt;=85% — &gt;95% process adherence; ≤10 rework tickets; 1 concrete MDM/EPC quality improvement; critical fixes per SLA.</t>
        </is>
      </c>
      <c r="O3" s="9" t="n"/>
      <c r="P3" s="13" t="n"/>
      <c r="Q3" s="16" t="inlineStr">
        <is>
          <t>Krishna_OKR_Checklist!A1</t>
        </is>
      </c>
      <c r="R3" s="9" t="inlineStr">
        <is>
          <t>Quality Score card &gt;=85% — ≤5 rework tickets; zero critical escapes; Q1 vs Q4 rework trend documented for appraisal; annual process audit ready.</t>
        </is>
      </c>
      <c r="S3" s="9" t="n"/>
      <c r="T3" s="13" t="n"/>
      <c r="U3" s="16" t="inlineStr">
        <is>
          <t>Krishna_OKR_Checklist!A1</t>
        </is>
      </c>
    </row>
    <row r="4" ht="63.95" customHeight="1" s="56">
      <c r="A4" s="9" t="inlineStr">
        <is>
          <t>Learning &amp; Development</t>
        </is>
      </c>
      <c r="B4" s="61" t="n">
        <v>2012</v>
      </c>
      <c r="C4" s="9" t="inlineStr">
        <is>
          <t>Krishna</t>
        </is>
      </c>
      <c r="D4" s="9">
        <f>20/4*2</f>
        <v/>
      </c>
      <c r="E4" s="9" t="n">
        <v>2026</v>
      </c>
      <c r="F4" s="9" t="inlineStr">
        <is>
          <t>AI-assisted development (Cursor/ChatGPT) and async programming fundamentals. POC: AI-powered PR/code reviewer assistant.</t>
        </is>
      </c>
      <c r="G4" s="9" t="inlineStr">
        <is>
          <t>POC: AI-assisted development (Cursor/ChatGPT) and async programming fundamentals. POC: AI-power — see Learning_Evidence. Repo: https://bitbucket.org/msnalashaa/performance-learning-development/src/main/</t>
        </is>
      </c>
      <c r="H4" s="35" t="inlineStr">
        <is>
          <t>Yes</t>
        </is>
      </c>
      <c r="I4" s="16" t="inlineStr">
        <is>
          <t>Krishna_OKR_Checklist!A5</t>
        </is>
      </c>
      <c r="J4" s="9" t="inlineStr">
        <is>
          <t>.NET API fundamentals &amp; REST patterns. POC: Build one .NET API module with Swagger documentation and unit/integration tests.</t>
        </is>
      </c>
      <c r="K4" s="9" t="inlineStr">
        <is>
          <t>POC: .NET API fundamentals &amp; REST patterns. POC: Build one .NET API module with Swagger documen — see Learning_Evidence. Repo: https://bitbucket.org/msnalashaa/performance-learning-development/src/main/</t>
        </is>
      </c>
      <c r="L4" s="35" t="inlineStr">
        <is>
          <t>Yes</t>
        </is>
      </c>
      <c r="M4" s="16" t="inlineStr">
        <is>
          <t>Krishna_OKR_Checklist!A9</t>
        </is>
      </c>
      <c r="N4" s="9" t="inlineStr">
        <is>
          <t>SQL query optimization &amp; stored procedures. POC: Optimize one slow query with verified before/after metrics.</t>
        </is>
      </c>
      <c r="O4" s="9" t="n"/>
      <c r="P4" s="13" t="n"/>
      <c r="Q4" s="16" t="inlineStr">
        <is>
          <t>Krishna_OKR_Checklist!A1</t>
        </is>
      </c>
      <c r="R4" s="9" t="inlineStr">
        <is>
          <t>Integrated capstone — extend AI PR/code reviewer with .NET API backend and SQL-backed review metrics; annual upskilling portfolio.</t>
        </is>
      </c>
      <c r="S4" s="9" t="n"/>
      <c r="T4" s="13" t="n"/>
      <c r="U4" s="16" t="inlineStr">
        <is>
          <t>Krishna_OKR_Checklist!A1</t>
        </is>
      </c>
    </row>
    <row r="5" ht="15.75" customHeight="1" s="56">
      <c r="A5" s="10" t="inlineStr">
        <is>
          <t>2 Quarter Sum (Expected)</t>
        </is>
      </c>
      <c r="B5" s="11" t="n"/>
      <c r="C5" s="11" t="inlineStr">
        <is>
          <t>Krishna</t>
        </is>
      </c>
      <c r="D5" s="11">
        <f>SUM(D2:D4)</f>
        <v/>
      </c>
      <c r="E5" s="11" t="n"/>
      <c r="F5" s="11" t="n"/>
      <c r="G5" s="36" t="inlineStr">
        <is>
          <t>25 / 25 weightage points</t>
        </is>
      </c>
      <c r="H5" s="38" t="n">
        <v>25</v>
      </c>
      <c r="I5" s="16" t="inlineStr">
        <is>
          <t>Krishna_OKR_Checklist!A1</t>
        </is>
      </c>
      <c r="J5" s="11" t="n"/>
      <c r="K5" s="36" t="inlineStr">
        <is>
          <t>25 / 25 weightage points</t>
        </is>
      </c>
      <c r="L5" s="38" t="n">
        <v>25</v>
      </c>
      <c r="M5" s="16" t="inlineStr">
        <is>
          <t>Krishna_OKR_Checklist!A1</t>
        </is>
      </c>
      <c r="N5" s="11" t="n"/>
      <c r="O5" s="11" t="n"/>
      <c r="P5" s="14" t="n"/>
      <c r="Q5" s="16" t="inlineStr">
        <is>
          <t>Krishna_OKR_Checklist!A1</t>
        </is>
      </c>
      <c r="R5" s="11" t="n"/>
      <c r="S5" s="17" t="n"/>
      <c r="T5" s="13" t="n"/>
      <c r="U5" s="16" t="inlineStr">
        <is>
          <t>Krishna_OKR_Checklist!A1</t>
        </is>
      </c>
    </row>
    <row r="6">
      <c r="A6" t="inlineStr">
        <is>
          <t>Achieved</t>
        </is>
      </c>
      <c r="B6" t="n">
        <v>50</v>
      </c>
      <c r="C6" t="inlineStr">
        <is>
          <t>50 = Q1 25 + Q2 25. Rule: Yes = full quarter weight, No = 0. Quarter weight = annual / 4: Execution 7.5, Quality 12.5, Learning &amp; Development 5. Q3-2026 and Q4-2026 stay unassessed.</t>
        </is>
      </c>
      <c r="H6" s="15" t="n"/>
      <c r="I6" s="18" t="n"/>
      <c r="L6" s="15" t="n"/>
      <c r="M6" s="18" t="n"/>
      <c r="P6" s="15" t="n"/>
      <c r="Q6" s="18" t="n"/>
      <c r="T6" s="15" t="n"/>
      <c r="U6" s="18" t="n"/>
    </row>
    <row r="7">
      <c r="H7" s="15" t="n"/>
      <c r="I7" s="18" t="n"/>
      <c r="L7" s="15" t="n"/>
      <c r="M7" s="18" t="n"/>
      <c r="P7" s="15" t="n"/>
      <c r="Q7" s="18" t="n"/>
      <c r="T7" s="15" t="n"/>
      <c r="U7" s="18" t="n"/>
    </row>
    <row r="8">
      <c r="A8" t="inlineStr">
        <is>
          <t>Total (2025 Achieved + 2026 Achieved)</t>
        </is>
      </c>
      <c r="B8">
        <f>KPI_2025!B7+B6</f>
        <v/>
      </c>
      <c r="E8" s="12" t="n"/>
      <c r="H8" s="15" t="n"/>
      <c r="I8" s="18" t="n"/>
      <c r="L8" s="15" t="n"/>
      <c r="M8" s="18" t="n"/>
      <c r="P8" s="15" t="n"/>
      <c r="Q8" s="18" t="n"/>
      <c r="T8" s="15" t="n"/>
      <c r="U8" s="18" t="n"/>
    </row>
  </sheetData>
  <hyperlinks>
    <hyperlink ref="I2" location="Krishna_OKR_Checklist!A2" display="Krishna_OKR_Checklist!A2"/>
    <hyperlink ref="M2" location="Krishna_OKR_Checklist!A6" display="Krishna_OKR_Checklist!A6"/>
    <hyperlink ref="Q2" location="Krishna_OKR_Checklist!A1" display="Krishna_OKR_Checklist!A1"/>
    <hyperlink ref="U2" location="Krishna_OKR_Checklist!A1" display="Krishna_OKR_Checklist!A1"/>
    <hyperlink ref="I3" location="Krishna_OKR_Checklist!A3" display="Krishna_OKR_Checklist!A3"/>
    <hyperlink ref="M3" location="Krishna_OKR_Checklist!A7" display="Krishna_OKR_Checklist!A7"/>
    <hyperlink ref="Q3" location="Krishna_OKR_Checklist!A1" display="Krishna_OKR_Checklist!A1"/>
    <hyperlink ref="U3" location="Krishna_OKR_Checklist!A1" display="Krishna_OKR_Checklist!A1"/>
    <hyperlink ref="I4" location="Krishna_OKR_Checklist!A5" display="Krishna_OKR_Checklist!A5"/>
    <hyperlink ref="M4" location="Krishna_OKR_Checklist!A9" display="Krishna_OKR_Checklist!A9"/>
    <hyperlink ref="Q4" location="Krishna_OKR_Checklist!A1" display="Krishna_OKR_Checklist!A1"/>
    <hyperlink ref="U4" location="Krishna_OKR_Checklist!A1" display="Krishna_OKR_Checklist!A1"/>
    <hyperlink ref="I5" location="Krishna_OKR_Checklist!A1" display="Krishna_OKR_Checklist!A1"/>
    <hyperlink ref="M5" location="Krishna_OKR_Checklist!A1" display="Krishna_OKR_Checklist!A1"/>
    <hyperlink ref="Q5" location="Krishna_OKR_Checklist!A1" display="Krishna_OKR_Checklist!A1"/>
    <hyperlink ref="U5" location="Krishna_OKR_Checklist!A1" display="Krishna_OKR_Checklist!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tabSelected="1" workbookViewId="0">
      <selection activeCell="F25" sqref="F25"/>
    </sheetView>
  </sheetViews>
  <sheetFormatPr baseColWidth="8" defaultRowHeight="15"/>
  <sheetData>
    <row r="1" ht="15.75" customHeight="1" s="56">
      <c r="A1" s="39" t="inlineStr">
        <is>
          <t>OKR Weightage Summary — governed by Krishna_OKR_Checklist (Met?) + Tickets_Master for delivery</t>
        </is>
      </c>
    </row>
    <row r="2">
      <c r="A2" s="40" t="inlineStr">
        <is>
          <t>Appraisal scope: 2025 Q3–Q4 + 2026 Q1–Q2. Q3-2025 = training/KT (PM Yes).</t>
        </is>
      </c>
    </row>
    <row r="3">
      <c r="A3" s="21" t="n"/>
      <c r="B3" s="21" t="n"/>
      <c r="C3" s="21" t="n"/>
      <c r="D3" s="21" t="n"/>
      <c r="E3" s="21" t="n"/>
      <c r="F3" s="21" t="n"/>
    </row>
    <row r="4" ht="30" customHeight="1" s="56">
      <c r="A4" s="41" t="inlineStr">
        <is>
          <t>KPI / Met?</t>
        </is>
      </c>
      <c r="B4" s="41" t="inlineStr">
        <is>
          <t>Q3-2025</t>
        </is>
      </c>
      <c r="C4" s="41" t="inlineStr">
        <is>
          <t>Q4-2025</t>
        </is>
      </c>
      <c r="D4" s="41" t="inlineStr">
        <is>
          <t>Q1-2026</t>
        </is>
      </c>
      <c r="E4" s="41" t="inlineStr">
        <is>
          <t>Q2-2026</t>
        </is>
      </c>
      <c r="F4" s="41" t="inlineStr">
        <is>
          <t>Grand Total</t>
        </is>
      </c>
    </row>
    <row r="5" ht="30" customHeight="1" s="56">
      <c r="A5" s="42" t="inlineStr">
        <is>
          <t>Execution</t>
        </is>
      </c>
    </row>
    <row r="6" ht="45" customHeight="1" s="56">
      <c r="A6" s="43" t="inlineStr">
        <is>
          <t>Yes</t>
        </is>
      </c>
      <c r="D6" s="40" t="n">
        <v>5</v>
      </c>
      <c r="E6" s="40" t="n">
        <v>5</v>
      </c>
      <c r="F6" s="40" t="n">
        <v>10</v>
      </c>
    </row>
    <row r="7">
      <c r="A7" s="44" t="inlineStr">
        <is>
          <t>No</t>
        </is>
      </c>
      <c r="F7" s="40" t="n"/>
    </row>
    <row r="8" ht="30" customHeight="1" s="56">
      <c r="A8" s="42" t="inlineStr">
        <is>
          <t>Quality</t>
        </is>
      </c>
    </row>
    <row r="9" ht="45" customHeight="1" s="56">
      <c r="A9" s="43" t="inlineStr">
        <is>
          <t>Yes</t>
        </is>
      </c>
      <c r="D9" s="40" t="n">
        <v>10</v>
      </c>
      <c r="E9" s="40" t="n">
        <v>10</v>
      </c>
      <c r="F9" s="40" t="n">
        <v>20</v>
      </c>
    </row>
    <row r="10">
      <c r="A10" s="44" t="inlineStr">
        <is>
          <t>No</t>
        </is>
      </c>
      <c r="F10" s="40" t="n"/>
    </row>
    <row r="11" ht="30" customHeight="1" s="56">
      <c r="A11" s="42" t="inlineStr">
        <is>
          <t>Learning &amp; Development</t>
        </is>
      </c>
    </row>
    <row r="12" ht="45" customHeight="1" s="56">
      <c r="A12" s="43" t="inlineStr">
        <is>
          <t>Yes</t>
        </is>
      </c>
      <c r="D12" s="40" t="n">
        <v>5</v>
      </c>
      <c r="E12" s="40" t="n">
        <v>5</v>
      </c>
      <c r="F12" s="40" t="n">
        <v>10</v>
      </c>
    </row>
    <row r="13">
      <c r="A13" s="44" t="inlineStr">
        <is>
          <t>No</t>
        </is>
      </c>
      <c r="F13" s="40" t="n"/>
    </row>
    <row r="14" ht="30" customHeight="1" s="56">
      <c r="A14" s="42" t="inlineStr">
        <is>
          <t>Project Delivery</t>
        </is>
      </c>
    </row>
    <row r="15" ht="45" customHeight="1" s="56">
      <c r="A15" s="43" t="inlineStr">
        <is>
          <t>Yes</t>
        </is>
      </c>
      <c r="B15" s="40" t="n">
        <v>58</v>
      </c>
      <c r="C15" s="40" t="n">
        <v>58</v>
      </c>
      <c r="F15" s="40" t="n">
        <v>116</v>
      </c>
    </row>
    <row r="16">
      <c r="A16" s="44" t="inlineStr">
        <is>
          <t>No</t>
        </is>
      </c>
      <c r="F16" s="40" t="n"/>
    </row>
    <row r="17" ht="30" customHeight="1" s="56">
      <c r="A17" s="42" t="inlineStr">
        <is>
          <t>Process Adherance</t>
        </is>
      </c>
    </row>
    <row r="18" ht="45" customHeight="1" s="56">
      <c r="A18" s="43" t="inlineStr">
        <is>
          <t>Yes</t>
        </is>
      </c>
      <c r="B18" s="40" t="n">
        <v>12</v>
      </c>
      <c r="C18" s="40" t="n">
        <v>12</v>
      </c>
      <c r="F18" s="40" t="n">
        <v>24</v>
      </c>
    </row>
    <row r="19">
      <c r="A19" s="44" t="inlineStr">
        <is>
          <t>No</t>
        </is>
      </c>
      <c r="F19" s="40" t="n"/>
    </row>
    <row r="20" ht="30" customHeight="1" s="56">
      <c r="A20" s="42" t="inlineStr">
        <is>
          <t>External Bug Count, Ticket Reopen</t>
        </is>
      </c>
    </row>
    <row r="21" ht="45" customHeight="1" s="56">
      <c r="A21" s="43" t="inlineStr">
        <is>
          <t>Yes</t>
        </is>
      </c>
      <c r="B21" s="40" t="n">
        <v>16</v>
      </c>
      <c r="C21" s="40" t="n">
        <v>16</v>
      </c>
      <c r="F21" s="40" t="n">
        <v>32</v>
      </c>
    </row>
    <row r="22">
      <c r="A22" s="44" t="inlineStr">
        <is>
          <t>No</t>
        </is>
      </c>
      <c r="F22" s="40" t="n"/>
    </row>
    <row r="23" ht="30" customHeight="1" s="56">
      <c r="A23" s="42" t="inlineStr">
        <is>
          <t>Self Learning</t>
        </is>
      </c>
    </row>
    <row r="24" ht="45" customHeight="1" s="56">
      <c r="A24" s="43" t="inlineStr">
        <is>
          <t>Yes</t>
        </is>
      </c>
      <c r="B24" s="40" t="n">
        <v>14</v>
      </c>
      <c r="C24" s="40" t="n">
        <v>14</v>
      </c>
      <c r="F24" s="40" t="n">
        <v>28</v>
      </c>
    </row>
    <row r="25">
      <c r="A25" s="44" t="inlineStr">
        <is>
          <t>No</t>
        </is>
      </c>
      <c r="B25" s="7" t="n"/>
      <c r="C25" s="7" t="n"/>
      <c r="D25" s="7" t="n"/>
      <c r="E25" s="7" t="n"/>
      <c r="F25" s="40" t="n"/>
    </row>
    <row r="26">
      <c r="A26" s="39" t="inlineStr">
        <is>
          <t>Grand Total</t>
        </is>
      </c>
      <c r="B26" s="39" t="n">
        <v>100</v>
      </c>
      <c r="C26" s="39" t="n">
        <v>100</v>
      </c>
      <c r="D26" s="39" t="n">
        <v>20</v>
      </c>
      <c r="E26" s="39" t="n">
        <v>20</v>
      </c>
      <c r="F26" s="39" t="n">
        <v>240</v>
      </c>
    </row>
    <row r="27">
      <c r="A27" s="21" t="n"/>
    </row>
    <row r="28" ht="45" customHeight="1" s="56">
      <c r="A28" s="45" t="inlineStr">
        <is>
          <t>Training / KT Note</t>
        </is>
      </c>
    </row>
    <row r="29">
      <c r="A29" s="55" t="inlineStr">
        <is>
          <t>Q3-2025 note (PM): Krishna was under training during Q3-2025. He is taking KT (knowledge transfer) and working on small parts of the tickets. Q3-2025 Achieved marked Yes accordingly (master has 0 tickets that quarter).</t>
        </is>
      </c>
    </row>
    <row r="30"/>
    <row r="31"/>
  </sheetData>
  <mergeCells count="1">
    <mergeCell ref="A29:F3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8"/>
  <sheetViews>
    <sheetView workbookViewId="0">
      <selection activeCell="D18" sqref="D18"/>
    </sheetView>
  </sheetViews>
  <sheetFormatPr baseColWidth="8" defaultRowHeight="15"/>
  <sheetData>
    <row r="1" ht="15.75" customHeight="1" s="56">
      <c r="A1" s="39" t="inlineStr">
        <is>
          <t>OKR Checklist Summary — governed by Krishna_OKR_Checklist (Met? weightages)</t>
        </is>
      </c>
    </row>
    <row r="2">
      <c r="A2" s="40" t="inlineStr">
        <is>
          <t>Built from the checklist. v0.3 quarter weights sum to 25 per in-scope quarter. Q3-2025 remains Yes under training / KT.</t>
        </is>
      </c>
    </row>
    <row r="3" ht="45" customHeight="1" s="56">
      <c r="A3" s="21" t="n"/>
      <c r="B3" s="47" t="n"/>
      <c r="C3" s="47" t="n"/>
      <c r="D3" s="21" t="n"/>
    </row>
    <row r="4" ht="30" customHeight="1" s="56">
      <c r="A4" s="41" t="inlineStr">
        <is>
          <t>Quarter / KPI</t>
        </is>
      </c>
      <c r="B4" s="41" t="inlineStr">
        <is>
          <t>No</t>
        </is>
      </c>
      <c r="C4" s="41" t="inlineStr">
        <is>
          <t>Yes</t>
        </is>
      </c>
      <c r="D4" s="41" t="inlineStr">
        <is>
          <t>Grand Total</t>
        </is>
      </c>
    </row>
    <row r="5">
      <c r="A5" s="39" t="inlineStr">
        <is>
          <t>Q3-2025</t>
        </is>
      </c>
      <c r="B5" s="40" t="n"/>
      <c r="C5" s="48" t="n">
        <v>25</v>
      </c>
      <c r="D5" s="39" t="n">
        <v>25</v>
      </c>
    </row>
    <row r="6">
      <c r="A6" s="40" t="inlineStr">
        <is>
          <t xml:space="preserve">  Project Delivery</t>
        </is>
      </c>
      <c r="B6" s="40" t="n"/>
      <c r="C6" s="48" t="n">
        <v>14.5</v>
      </c>
      <c r="D6" s="40" t="n">
        <v>14.5</v>
      </c>
    </row>
    <row r="7">
      <c r="A7" s="40" t="inlineStr">
        <is>
          <t xml:space="preserve">  Process Adherance</t>
        </is>
      </c>
      <c r="B7" s="40" t="n"/>
      <c r="C7" s="48" t="n">
        <v>3</v>
      </c>
      <c r="D7" s="40" t="n">
        <v>3</v>
      </c>
    </row>
    <row r="8">
      <c r="A8" s="40" t="inlineStr">
        <is>
          <t xml:space="preserve">  External Bug Count, Ticket Reopen</t>
        </is>
      </c>
      <c r="B8" s="40" t="n"/>
      <c r="C8" s="48" t="n">
        <v>4</v>
      </c>
      <c r="D8" s="40" t="n">
        <v>4</v>
      </c>
    </row>
    <row r="9">
      <c r="A9" s="40" t="inlineStr">
        <is>
          <t xml:space="preserve">  Self Learning</t>
        </is>
      </c>
      <c r="B9" s="40" t="n"/>
      <c r="C9" s="48" t="n">
        <v>3.5</v>
      </c>
      <c r="D9" s="40" t="n">
        <v>3.5</v>
      </c>
    </row>
    <row r="10">
      <c r="A10" s="39" t="inlineStr">
        <is>
          <t>Q4-2025</t>
        </is>
      </c>
      <c r="B10" s="40" t="n"/>
      <c r="C10" s="48" t="n">
        <v>25</v>
      </c>
      <c r="D10" s="39" t="n">
        <v>25</v>
      </c>
    </row>
    <row r="11">
      <c r="A11" s="40" t="inlineStr">
        <is>
          <t xml:space="preserve">  Project Delivery</t>
        </is>
      </c>
      <c r="B11" s="40" t="n"/>
      <c r="C11" s="48" t="n">
        <v>14.5</v>
      </c>
      <c r="D11" s="40" t="n">
        <v>14.5</v>
      </c>
    </row>
    <row r="12">
      <c r="A12" s="40" t="inlineStr">
        <is>
          <t xml:space="preserve">  Process Adherance</t>
        </is>
      </c>
      <c r="B12" s="40" t="n"/>
      <c r="C12" s="48" t="n">
        <v>3</v>
      </c>
      <c r="D12" s="40" t="n">
        <v>3</v>
      </c>
    </row>
    <row r="13">
      <c r="A13" s="40" t="inlineStr">
        <is>
          <t xml:space="preserve">  External Bug Count, Ticket Reopen</t>
        </is>
      </c>
      <c r="B13" s="40" t="n"/>
      <c r="C13" s="48" t="n">
        <v>4</v>
      </c>
      <c r="D13" s="40" t="n">
        <v>4</v>
      </c>
    </row>
    <row r="14">
      <c r="A14" s="40" t="inlineStr">
        <is>
          <t xml:space="preserve">  Self Learning</t>
        </is>
      </c>
      <c r="B14" s="40" t="n"/>
      <c r="C14" s="48" t="n">
        <v>3.5</v>
      </c>
      <c r="D14" s="40" t="n">
        <v>3.5</v>
      </c>
    </row>
    <row r="15">
      <c r="A15" s="39" t="inlineStr">
        <is>
          <t>Q1-2026</t>
        </is>
      </c>
      <c r="B15" s="40" t="n"/>
      <c r="C15" s="48" t="n">
        <v>25</v>
      </c>
      <c r="D15" s="39" t="n">
        <v>25</v>
      </c>
    </row>
    <row r="16">
      <c r="A16" s="40" t="inlineStr">
        <is>
          <t xml:space="preserve">  Execution</t>
        </is>
      </c>
      <c r="B16" s="40" t="n"/>
      <c r="C16" s="48" t="n">
        <v>7.5</v>
      </c>
      <c r="D16" s="40" t="n">
        <v>7.5</v>
      </c>
    </row>
    <row r="17">
      <c r="A17" s="40" t="inlineStr">
        <is>
          <t xml:space="preserve">  Quality</t>
        </is>
      </c>
      <c r="B17" s="40" t="n"/>
      <c r="C17" s="48" t="n">
        <v>12.5</v>
      </c>
      <c r="D17" s="40" t="n">
        <v>12.5</v>
      </c>
    </row>
    <row r="18">
      <c r="A18" s="40" t="inlineStr">
        <is>
          <t xml:space="preserve">  Learning &amp; Development</t>
        </is>
      </c>
      <c r="B18" s="40" t="n"/>
      <c r="C18" s="48" t="n">
        <v>5</v>
      </c>
      <c r="D18" s="40" t="n">
        <v>5</v>
      </c>
    </row>
    <row r="19">
      <c r="A19" s="39" t="inlineStr">
        <is>
          <t>Q2-2026</t>
        </is>
      </c>
      <c r="B19" s="40" t="n"/>
      <c r="C19" s="48" t="n">
        <v>25</v>
      </c>
      <c r="D19" s="39" t="n">
        <v>25</v>
      </c>
    </row>
    <row r="20">
      <c r="A20" s="40" t="inlineStr">
        <is>
          <t xml:space="preserve">  Execution</t>
        </is>
      </c>
      <c r="B20" s="40" t="n"/>
      <c r="C20" s="48" t="n">
        <v>7.5</v>
      </c>
      <c r="D20" s="40" t="n">
        <v>7.5</v>
      </c>
    </row>
    <row r="21">
      <c r="A21" s="40" t="inlineStr">
        <is>
          <t xml:space="preserve">  Quality</t>
        </is>
      </c>
      <c r="B21" s="40" t="n"/>
      <c r="C21" s="48" t="n">
        <v>12.5</v>
      </c>
      <c r="D21" s="40" t="n">
        <v>12.5</v>
      </c>
    </row>
    <row r="22">
      <c r="A22" s="40" t="inlineStr">
        <is>
          <t xml:space="preserve">  Learning &amp; Development</t>
        </is>
      </c>
      <c r="B22" s="40" t="n"/>
      <c r="C22" s="48" t="n">
        <v>5</v>
      </c>
      <c r="D22" s="40" t="n">
        <v>5</v>
      </c>
    </row>
    <row r="23">
      <c r="A23" s="39" t="inlineStr">
        <is>
          <t>Grand Total</t>
        </is>
      </c>
      <c r="B23" s="39" t="n"/>
      <c r="C23" s="48" t="n">
        <v>100</v>
      </c>
      <c r="D23" s="39" t="n">
        <v>100</v>
      </c>
    </row>
    <row r="24">
      <c r="A24" s="21" t="n"/>
    </row>
    <row r="25" ht="45" customHeight="1" s="56">
      <c r="A25" s="45" t="inlineStr">
        <is>
          <t>Training / KT Note</t>
        </is>
      </c>
    </row>
    <row r="26">
      <c r="A26" s="55" t="inlineStr">
        <is>
          <t>Q3-2025 note (PM): Krishna was under training during Q3-2025. He is taking KT (knowledge transfer) and working on small parts of the tickets. Q3-2025 Achieved marked Yes accordingly (master has 0 tickets that quarter).</t>
        </is>
      </c>
    </row>
    <row r="27"/>
    <row r="28"/>
  </sheetData>
  <mergeCells count="1">
    <mergeCell ref="A26:D2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F6" sqref="F6"/>
    </sheetView>
  </sheetViews>
  <sheetFormatPr baseColWidth="8" defaultRowHeight="15"/>
  <cols>
    <col width="15" customWidth="1" style="56" min="1" max="1"/>
    <col width="12" customWidth="1" style="56" min="2" max="2"/>
    <col width="24" customWidth="1" style="56" min="3" max="3"/>
    <col width="12" customWidth="1" style="56" min="4" max="5"/>
    <col width="24" customWidth="1" style="56" min="6" max="6"/>
    <col width="20" customWidth="1" style="56" min="7" max="7"/>
    <col width="40" customWidth="1" style="56" min="8" max="9"/>
    <col width="31" customWidth="1" style="56" min="10" max="10"/>
  </cols>
  <sheetData>
    <row r="1" ht="30" customHeight="1" s="56">
      <c r="A1" s="33" t="inlineStr">
        <is>
          <t>Employee Name</t>
        </is>
      </c>
      <c r="B1" s="33" t="inlineStr">
        <is>
          <t>Quarter</t>
        </is>
      </c>
      <c r="C1" s="33" t="inlineStr">
        <is>
          <t>KPI Affected</t>
        </is>
      </c>
      <c r="D1" s="33" t="inlineStr">
        <is>
          <t>OKR Met?</t>
        </is>
      </c>
      <c r="E1" s="33" t="inlineStr">
        <is>
          <t>Weightage</t>
        </is>
      </c>
      <c r="F1" s="33" t="inlineStr">
        <is>
          <t>Artifacts to OKR</t>
        </is>
      </c>
      <c r="G1" s="33" t="inlineStr">
        <is>
          <t>Other Links</t>
        </is>
      </c>
      <c r="H1" s="33" t="inlineStr">
        <is>
          <t>OKRs</t>
        </is>
      </c>
      <c r="I1" s="33" t="inlineStr">
        <is>
          <t>Deliverable Expected</t>
        </is>
      </c>
      <c r="J1" s="33" t="inlineStr">
        <is>
          <t>Evidence Note</t>
        </is>
      </c>
    </row>
    <row r="2" ht="48" customHeight="1" s="56">
      <c r="A2" s="9" t="inlineStr">
        <is>
          <t>Krishna</t>
        </is>
      </c>
      <c r="B2" s="9" t="inlineStr">
        <is>
          <t>Q1-2026</t>
        </is>
      </c>
      <c r="C2" s="9" t="inlineStr">
        <is>
          <t>Execution</t>
        </is>
      </c>
      <c r="D2" s="35" t="inlineStr">
        <is>
          <t>Yes</t>
        </is>
      </c>
      <c r="E2" s="9" t="n">
        <v>7.5</v>
      </c>
      <c r="F2" s="16" t="inlineStr">
        <is>
          <t>Ticket_Velocity!A1</t>
        </is>
      </c>
      <c r="G2" s="16" t="inlineStr">
        <is>
          <t>Q1-2026_Tickets!A1</t>
        </is>
      </c>
      <c r="H2" s="9" t="inlineStr">
        <is>
          <t>1. Achieve ≥8 Production deployments with traceable Helpdesk Plus releases
2. Maintain ≤2 task slippages with documented PM/stakeholder email
3. QA handoff within 2 business days of dev-complete on committed items
4. Obtain PM sign-off on Q1 delivery milestone</t>
        </is>
      </c>
      <c r="I2" s="9" t="inlineStr">
        <is>
          <t>1. Project Delivery Checklist completed (≥70% compliance)
2. Helpdesk Plus tickets with version/release + deployment notes
3. Slippage log with email evidence (if any)
4. Q1 Delivery Report + PM sign-off</t>
        </is>
      </c>
      <c r="J2" s="34" t="inlineStr">
        <is>
          <t>Master Q1-2026: total=10 closed=8 open=2 (target 8; Yes if &gt;=8 or &gt;=5)</t>
        </is>
      </c>
    </row>
    <row r="3" ht="48" customHeight="1" s="56">
      <c r="A3" s="9" t="inlineStr">
        <is>
          <t>Krishna</t>
        </is>
      </c>
      <c r="B3" s="9" t="inlineStr">
        <is>
          <t>Q1-2026</t>
        </is>
      </c>
      <c r="C3" s="9" t="inlineStr">
        <is>
          <t>Quality</t>
        </is>
      </c>
      <c r="D3" s="35" t="inlineStr">
        <is>
          <t>Yes</t>
        </is>
      </c>
      <c r="E3" s="9" t="n">
        <v>6.25</v>
      </c>
      <c r="F3" s="16" t="inlineStr">
        <is>
          <t>Helpdesk_Discipline!A1</t>
        </is>
      </c>
      <c r="G3" s="16" t="inlineStr">
        <is>
          <t>Q1-2026_Tickets!A1</t>
        </is>
      </c>
      <c r="H3" s="9" t="inlineStr">
        <is>
          <t>1. Achieve ≥95% Process Adherence Checklist score (≥19/20 sampled tickets)
2. Daily Helpdesk Plus logging and worklog discipline on assigned tasks
3. 100% PR template usage on all submissions
4. Zero uncommunicated ticket stalls or update misses</t>
        </is>
      </c>
      <c r="I3" s="9" t="inlineStr">
        <is>
          <t>1. Completed Process Adherence Checklist with score
2. Worklog audit sample (20 Helpdesk Plus tickets)
3. PR template compliance evidence
4. Q1 Process Report</t>
        </is>
      </c>
      <c r="J3" s="9" t="inlineStr">
        <is>
          <t>Evidence-based; Closed=8</t>
        </is>
      </c>
    </row>
    <row r="4" ht="48" customHeight="1" s="56">
      <c r="A4" s="9" t="inlineStr">
        <is>
          <t>Krishna</t>
        </is>
      </c>
      <c r="B4" s="9" t="inlineStr">
        <is>
          <t>Q1-2026</t>
        </is>
      </c>
      <c r="C4" s="9" t="inlineStr">
        <is>
          <t>Quality</t>
        </is>
      </c>
      <c r="D4" s="35" t="inlineStr">
        <is>
          <t>Yes</t>
        </is>
      </c>
      <c r="E4" s="9" t="n">
        <v>6.25</v>
      </c>
      <c r="F4" s="16" t="inlineStr">
        <is>
          <t>CodeChange_Summary!A1</t>
        </is>
      </c>
      <c r="G4" s="16" t="inlineStr">
        <is>
          <t>Q1-2026_Tickets!A1</t>
        </is>
      </c>
      <c r="H4" s="9" t="inlineStr">
        <is>
          <t>1. Keep rework tickets ≤20 (reopened or QA-returned on owned work)
2. Zero critical/major escapes to Production in owned scope
3. Avg PR review score ≥4/5 per team peer-review rubric
4. Attach test evidence on all complex items</t>
        </is>
      </c>
      <c r="I4" s="9" t="inlineStr">
        <is>
          <t>1. Helpdesk Plus rework ticket count report (baseline ≤20)
2. Peer code review sign-off on all changed code
3. RCA document on any prod escape
4. Q1 Quality Report</t>
        </is>
      </c>
      <c r="J4" s="9" t="inlineStr">
        <is>
          <t>Evidence-based; Closed=8</t>
        </is>
      </c>
    </row>
    <row r="5" ht="90" customHeight="1" s="56">
      <c r="A5" s="9" t="inlineStr">
        <is>
          <t>Krishna</t>
        </is>
      </c>
      <c r="B5" s="9" t="inlineStr">
        <is>
          <t>Q1-2026</t>
        </is>
      </c>
      <c r="C5" s="9" t="inlineStr">
        <is>
          <t>Learning &amp; Development</t>
        </is>
      </c>
      <c r="D5" s="35" t="inlineStr">
        <is>
          <t>Yes</t>
        </is>
      </c>
      <c r="E5" s="9" t="n">
        <v>5</v>
      </c>
      <c r="F5" s="16" t="inlineStr">
        <is>
          <t>Learning_Evidence!A1</t>
        </is>
      </c>
      <c r="G5" s="32" t="inlineStr">
        <is>
          <t>https://bitbucket.org/msnalashaa/performance-learning-development/src/main/</t>
        </is>
      </c>
      <c r="H5" s="9" t="inlineStr">
        <is>
          <t>POC: AI-assisted development (Cursor/ChatGPT) and async programming fundamentals. POC: AI-powered PR/code reviewer assistant.
Problem: Manual code reviews can be time-consuming and may miss common issues such as bugs, null-reference risks, security concerns, performance problems, and async/await issues. The POC explores how AI can assist developers by automatically analyzing Pull Request code changes and providi…
AC: • Accept a Pull Request-style code diff as input.
• Send the code changes to an AI model for analysis.
• Identify potential bugs, security, performance, async, and code-quality issues.
• Return structured review findings with severity, description, and suggested fixes.
• Use asyn…
Stack: C# / .NET 8, Visual Studio 2022, Google Gemini API, Google.GenAI SDK, async/await, System.Text.Json</t>
        </is>
      </c>
      <c r="I5" s="9" t="inlineStr">
        <is>
          <t>• Gained practical experience integrating an LLM API into a .NET application.
• Applied async/await and asynchronous I/O for file processing and external API communication.
• Learned prompt engineering for structured AI responses.
• Used AI-assisted development to accelerate coding, debugging, refactoring, and documentation.
• Applied basic separation of concerns through service interfaces, AI service, prompts, and models.
• Established a foundation for future GitHub/GitLab PR automation.</t>
        </is>
      </c>
      <c r="J5" s="9" t="inlineStr">
        <is>
          <t>See Learning_Evidence Q1-2026 (problem/AC/tech). Source: PMS/Krishna/Krishnaraj_POC_25-26.xlsx</t>
        </is>
      </c>
    </row>
    <row r="6" ht="48" customHeight="1" s="56">
      <c r="A6" s="9" t="inlineStr">
        <is>
          <t>Krishna</t>
        </is>
      </c>
      <c r="B6" s="9" t="inlineStr">
        <is>
          <t>Q2-2026</t>
        </is>
      </c>
      <c r="C6" s="9" t="inlineStr">
        <is>
          <t>Execution</t>
        </is>
      </c>
      <c r="D6" s="35" t="inlineStr">
        <is>
          <t>Yes</t>
        </is>
      </c>
      <c r="E6" s="9" t="n">
        <v>7.5</v>
      </c>
      <c r="F6" s="16" t="inlineStr">
        <is>
          <t>Ticket_Velocity!A1</t>
        </is>
      </c>
      <c r="G6" s="16" t="inlineStr">
        <is>
          <t>Q2-2026_Tickets!A1</t>
        </is>
      </c>
      <c r="H6" s="9" t="inlineStr">
        <is>
          <t>1. Achieve ≥12 Production deployments with linked release references
2. Estimation within ±2 days vs sprint commitment on owned items
3. On-time QA handoff; proactive delay risks raised to PM within 24h
4. Obtain PM sign-off on Q2 throughput milestone</t>
        </is>
      </c>
      <c r="I6" s="9" t="inlineStr">
        <is>
          <t>1. Project Delivery Checklist completed (≥75% compliance)
2. Sprint outcomes vs estimate tracking sheet
3. Helpdesk Plus tickets with release references on all closed items
4. Q2 Delivery Milestone Report + PM sign-off</t>
        </is>
      </c>
      <c r="J6" s="34" t="inlineStr">
        <is>
          <t>Master Q2-2026: total=20 closed=19 open=1 (target 12; Yes if &gt;=12 or &gt;=8)</t>
        </is>
      </c>
    </row>
    <row r="7" ht="48" customHeight="1" s="56">
      <c r="A7" s="9" t="inlineStr">
        <is>
          <t>Krishna</t>
        </is>
      </c>
      <c r="B7" s="9" t="inlineStr">
        <is>
          <t>Q2-2026</t>
        </is>
      </c>
      <c r="C7" s="9" t="inlineStr">
        <is>
          <t>Quality</t>
        </is>
      </c>
      <c r="D7" s="35" t="inlineStr">
        <is>
          <t>Yes</t>
        </is>
      </c>
      <c r="E7" s="9" t="n">
        <v>6.25</v>
      </c>
      <c r="F7" s="16" t="inlineStr">
        <is>
          <t>Helpdesk_Discipline!A1</t>
        </is>
      </c>
      <c r="G7" s="16" t="inlineStr">
        <is>
          <t>Q2-2026_Tickets!A1</t>
        </is>
      </c>
      <c r="H7" s="9" t="inlineStr">
        <is>
          <t>1. Maintain ≥95% Process Adherence Checklist score
2. MoMs for all key decisions and material client/internal discussions
3. Stakeholder responsiveness within agreed SLAs
4. Worklogs aligned to Helpdesk Plus tasks with no silent slippages</t>
        </is>
      </c>
      <c r="I7" s="9" t="inlineStr">
        <is>
          <t>1. Completed Process Adherence Checklist with score
2. MoMs archived in wiki/email
3. Escalation email trail where applicable
4. Q2 Process Report + PM/RM sampling sign-off</t>
        </is>
      </c>
      <c r="J7" s="9" t="inlineStr">
        <is>
          <t>Evidence-based; Closed=19</t>
        </is>
      </c>
    </row>
    <row r="8" ht="48" customHeight="1" s="56">
      <c r="A8" s="9" t="inlineStr">
        <is>
          <t>Krishna</t>
        </is>
      </c>
      <c r="B8" s="9" t="inlineStr">
        <is>
          <t>Q2-2026</t>
        </is>
      </c>
      <c r="C8" s="9" t="inlineStr">
        <is>
          <t>Quality</t>
        </is>
      </c>
      <c r="D8" s="35" t="inlineStr">
        <is>
          <t>Yes</t>
        </is>
      </c>
      <c r="E8" s="9" t="n">
        <v>6.25</v>
      </c>
      <c r="F8" s="16" t="inlineStr">
        <is>
          <t>CodeChange_Summary!A1</t>
        </is>
      </c>
      <c r="G8" s="16" t="inlineStr">
        <is>
          <t>Q2-2026_Tickets!A1</t>
        </is>
      </c>
      <c r="H8" s="9" t="inlineStr">
        <is>
          <t>1. Keep rework tickets ≤15 (reopened or QA-returned on owned work)
2. Zero critical/major escapes to Production in owned scope
3. Peer code review clean on all code deltas
4. Log and track one quality improvement with owner assigned</t>
        </is>
      </c>
      <c r="I8" s="9" t="inlineStr">
        <is>
          <t>1. Rework ticket count trend vs Q1 (target ≤15)
2. Quality improvement ticket + assigned owner
3. QA collaboration evidence on improvement
4. Q2 Quality Report</t>
        </is>
      </c>
      <c r="J8" s="9" t="inlineStr">
        <is>
          <t>Evidence-based; Closed=19</t>
        </is>
      </c>
    </row>
    <row r="9" ht="90" customHeight="1" s="56">
      <c r="A9" s="9" t="inlineStr">
        <is>
          <t>Krishna</t>
        </is>
      </c>
      <c r="B9" s="9" t="inlineStr">
        <is>
          <t>Q2-2026</t>
        </is>
      </c>
      <c r="C9" s="9" t="inlineStr">
        <is>
          <t>Learning &amp; Development</t>
        </is>
      </c>
      <c r="D9" s="35" t="inlineStr">
        <is>
          <t>Yes</t>
        </is>
      </c>
      <c r="E9" s="9" t="n">
        <v>5</v>
      </c>
      <c r="F9" s="16" t="inlineStr">
        <is>
          <t>Learning_Evidence!A1</t>
        </is>
      </c>
      <c r="G9" s="32" t="inlineStr">
        <is>
          <t>https://bitbucket.org/msnalashaa/performance-learning-development/src/main/</t>
        </is>
      </c>
      <c r="H9" s="9" t="inlineStr">
        <is>
          <t>POC: .NET API fundamentals &amp; REST patterns. POC: Build one .NET API module with Swagger documentation and unit/integration tests.
Problem: Demonstrate the design and implementation of a RESTful .NET API module using standard API patterns, CRUD operations, validation, documentation, and automated testing.
AC: Build a functional .NET API module with RESTful CRUD endpoints; provide Swagger/OpenAPI documentation; implement request validation and appropriate HTTP status codes; add unit and integration tests with all tests passing.
Stack: .NET 8, ASP.NET Core Web API, C#, Swagger/Swashbuckle, xUnit, WebApplicationFactory, In-memory Repository</t>
        </is>
      </c>
      <c r="I9" s="9" t="inlineStr">
        <is>
          <t>Built and tested a Product REST API with GET, POST, PUT, and DELETE endpoints using Controller-Service-Repository architecture. Added DTO validation, Swagger documentation, and automated testing with 8 unit tests and 5 integration tests, achieving 13/13 passing tests. Gained practical understanding of REST API design, HTTP methods/status codes, dependency injection, API validation, Swagger/OpenAPI, unit testing, and integration testing using WebApplicationFactory.</t>
        </is>
      </c>
      <c r="J9" s="9" t="inlineStr">
        <is>
          <t>See Learning_Evidence Q2-2026 (problem/AC/tech). Source: PMS/Krishna/Krishnaraj_POC_25-26.xlsx</t>
        </is>
      </c>
    </row>
    <row r="10" ht="48" customHeight="1" s="56">
      <c r="A10" s="9" t="inlineStr">
        <is>
          <t>Krishna</t>
        </is>
      </c>
      <c r="B10" s="9" t="inlineStr">
        <is>
          <t>Q3-2025</t>
        </is>
      </c>
      <c r="C10" s="9" t="inlineStr">
        <is>
          <t>Project Delivery</t>
        </is>
      </c>
      <c r="D10" s="35" t="inlineStr">
        <is>
          <t>Yes</t>
        </is>
      </c>
      <c r="E10" s="9" t="n">
        <v>14.5</v>
      </c>
      <c r="F10" s="16" t="inlineStr">
        <is>
          <t>Ticket_Velocity!A1</t>
        </is>
      </c>
      <c r="G10" s="9" t="n"/>
      <c r="H10" s="9" t="inlineStr">
        <is>
          <t>Project Delivery — appraisal scope Q3-2025</t>
        </is>
      </c>
      <c r="I10" s="9" t="inlineStr">
        <is>
          <t>Per KPI_2025 target</t>
        </is>
      </c>
      <c r="J10" s="34" t="inlineStr">
        <is>
          <t>Under training / KT — 0 master tickets; PM Yes</t>
        </is>
      </c>
    </row>
    <row r="11" ht="48" customHeight="1" s="56">
      <c r="A11" s="9" t="inlineStr">
        <is>
          <t>Krishna</t>
        </is>
      </c>
      <c r="B11" s="9" t="inlineStr">
        <is>
          <t>Q3-2025</t>
        </is>
      </c>
      <c r="C11" s="9" t="inlineStr">
        <is>
          <t>Process Adherance</t>
        </is>
      </c>
      <c r="D11" s="35" t="inlineStr">
        <is>
          <t>Yes</t>
        </is>
      </c>
      <c r="E11" s="9" t="n">
        <v>3</v>
      </c>
      <c r="F11" s="16" t="inlineStr">
        <is>
          <t>Helpdesk_Discipline!A1</t>
        </is>
      </c>
      <c r="G11" s="9" t="n"/>
      <c r="H11" s="9" t="inlineStr">
        <is>
          <t>Process Adherance — appraisal scope Q3-2025</t>
        </is>
      </c>
      <c r="I11" s="9" t="inlineStr">
        <is>
          <t>Per KPI_2025 target</t>
        </is>
      </c>
      <c r="J11" s="9" t="inlineStr">
        <is>
          <t>Evidence-based from KPI/tickets; Actual=Tickets in qtr=0; closed=0 — see Helpdesk_Discipline</t>
        </is>
      </c>
    </row>
    <row r="12" ht="48" customHeight="1" s="56">
      <c r="A12" s="9" t="inlineStr">
        <is>
          <t>Krishna</t>
        </is>
      </c>
      <c r="B12" s="9" t="inlineStr">
        <is>
          <t>Q3-2025</t>
        </is>
      </c>
      <c r="C12" s="9" t="inlineStr">
        <is>
          <t>External Bug Count, Ticket Reopen</t>
        </is>
      </c>
      <c r="D12" s="35" t="inlineStr">
        <is>
          <t>Yes</t>
        </is>
      </c>
      <c r="E12" s="9" t="n">
        <v>4</v>
      </c>
      <c r="F12" s="16" t="inlineStr">
        <is>
          <t>Customer_Defect_Themes!A1</t>
        </is>
      </c>
      <c r="G12" s="9" t="n"/>
      <c r="H12" s="9" t="inlineStr">
        <is>
          <t>External Bug Count, Ticket Reopen — appraisal scope Q3-2025</t>
        </is>
      </c>
      <c r="I12" s="9" t="inlineStr">
        <is>
          <t>Per KPI_2025 target</t>
        </is>
      </c>
      <c r="J12" s="9" t="inlineStr">
        <is>
          <t>Evidence-based from KPI/tickets; Actual=Closed=0; defect-themes=0; rework-proxy=0</t>
        </is>
      </c>
    </row>
    <row r="13" ht="90" customHeight="1" s="56">
      <c r="A13" s="9" t="inlineStr">
        <is>
          <t>Krishna</t>
        </is>
      </c>
      <c r="B13" s="9" t="inlineStr">
        <is>
          <t>Q3-2025</t>
        </is>
      </c>
      <c r="C13" s="9" t="inlineStr">
        <is>
          <t>Self Learning</t>
        </is>
      </c>
      <c r="D13" s="35" t="inlineStr">
        <is>
          <t>Yes</t>
        </is>
      </c>
      <c r="E13" s="9" t="n">
        <v>3.5</v>
      </c>
      <c r="F13" s="16" t="inlineStr">
        <is>
          <t>Learning_Evidence!A1</t>
        </is>
      </c>
      <c r="G13" s="9" t="inlineStr">
        <is>
          <t>PMS/Krishna/Krishnaraj_POC_25-26.xlsx</t>
        </is>
      </c>
      <c r="H13" s="9" t="inlineStr">
        <is>
          <t>POC: Microsoft Authentication Accelerator
Problem: Develop a reusable authentication library to simplify Microsoft OAuth 2.0 token acquisition for .NET applications and reduce repeated authentication boilerplate. The accelerator should centralize configuration, token acquisition, error handling, logging, silent token acquisition,…
AC: 1) Reusable .NET class library abstracts MSAL OAuth 2.0 token acquisition.
2) Centralized configuration, error handling, logging, silent token acquisition, Forgot Password URL.
3) Simple interface/builder for consumer apps; DI + appsettings-driven config.
4) Validated via console…
Stack: C#, .NET 8 / .NET class library, MSAL.NET, Microsoft.Extensions.Configuration, Microsoft.Extensions.DependencyInjection, Microsoft.Extensions.Logging, Microsoft Identity Platform, OAuth 2.0, appsettings.json</t>
        </is>
      </c>
      <c r="I13" s="9" t="inlineStr">
        <is>
          <t>Built a reusable authentication accelerator that abstracts MSAL token-acquisition complexity behind a simple interface and builder. Implemented centralized logging and standardized authentication errors, while allowing consumer applications to handle interactive login when required. Validated the library through a console consumer application and successfully acquired an access token using configuration-driven authentication. Learned how MSAL token flows, token caching/silent acquisition, depend</t>
        </is>
      </c>
      <c r="J13" s="9" t="inlineStr">
        <is>
          <t>See Learning_Evidence Q3-2025 (problem/AC/tech). Source: PMS/Krishna/Krishnaraj_POC_25-26.xlsx</t>
        </is>
      </c>
    </row>
    <row r="14" ht="30" customHeight="1" s="56">
      <c r="A14" s="9" t="inlineStr">
        <is>
          <t>Krishna</t>
        </is>
      </c>
      <c r="B14" s="9" t="inlineStr">
        <is>
          <t>Q4-2025</t>
        </is>
      </c>
      <c r="C14" s="9" t="inlineStr">
        <is>
          <t>Project Delivery</t>
        </is>
      </c>
      <c r="D14" s="35" t="inlineStr">
        <is>
          <t>Yes</t>
        </is>
      </c>
      <c r="E14" s="9" t="n">
        <v>14.5</v>
      </c>
      <c r="F14" s="16" t="inlineStr">
        <is>
          <t>Ticket_Velocity!A1</t>
        </is>
      </c>
      <c r="G14" s="16" t="inlineStr">
        <is>
          <t>Q4-2025_Tickets!A1</t>
        </is>
      </c>
      <c r="H14" s="9" t="inlineStr">
        <is>
          <t>Project Delivery — appraisal scope Q4-2025</t>
        </is>
      </c>
      <c r="I14" s="9" t="inlineStr">
        <is>
          <t>Per KPI_2025 target</t>
        </is>
      </c>
      <c r="J14" s="34" t="inlineStr">
        <is>
          <t>Master Q4-2025: total=7 closed=7 open=0 (target 3; Yes if &gt;=3 or &gt;=2)</t>
        </is>
      </c>
    </row>
    <row r="15" ht="45" customHeight="1" s="56">
      <c r="A15" s="9" t="inlineStr">
        <is>
          <t>Krishna</t>
        </is>
      </c>
      <c r="B15" s="9" t="inlineStr">
        <is>
          <t>Q4-2025</t>
        </is>
      </c>
      <c r="C15" s="9" t="inlineStr">
        <is>
          <t>Process Adherance</t>
        </is>
      </c>
      <c r="D15" s="35" t="inlineStr">
        <is>
          <t>Yes</t>
        </is>
      </c>
      <c r="E15" s="9" t="n">
        <v>3</v>
      </c>
      <c r="F15" s="16" t="inlineStr">
        <is>
          <t>Helpdesk_Discipline!A1</t>
        </is>
      </c>
      <c r="G15" s="16" t="inlineStr">
        <is>
          <t>Q4-2025_Tickets!A1</t>
        </is>
      </c>
      <c r="H15" s="9" t="inlineStr">
        <is>
          <t>Process Adherance — appraisal scope Q4-2025</t>
        </is>
      </c>
      <c r="I15" s="9" t="inlineStr">
        <is>
          <t>Per KPI_2025 target</t>
        </is>
      </c>
      <c r="J15" s="9" t="inlineStr">
        <is>
          <t>Evidence-based from KPI/tickets; Actual=Tickets in qtr=7; closed=7 — see Helpdesk_Discipline</t>
        </is>
      </c>
    </row>
    <row r="16" ht="45" customHeight="1" s="56">
      <c r="A16" s="9" t="inlineStr">
        <is>
          <t>Krishna</t>
        </is>
      </c>
      <c r="B16" s="9" t="inlineStr">
        <is>
          <t>Q4-2025</t>
        </is>
      </c>
      <c r="C16" s="9" t="inlineStr">
        <is>
          <t>External Bug Count, Ticket Reopen</t>
        </is>
      </c>
      <c r="D16" s="35" t="inlineStr">
        <is>
          <t>Yes</t>
        </is>
      </c>
      <c r="E16" s="9" t="n">
        <v>4</v>
      </c>
      <c r="F16" s="16" t="inlineStr">
        <is>
          <t>Customer_Defect_Themes!A1</t>
        </is>
      </c>
      <c r="G16" s="16" t="inlineStr">
        <is>
          <t>Q4-2025_Tickets!A1</t>
        </is>
      </c>
      <c r="H16" s="9" t="inlineStr">
        <is>
          <t>External Bug Count, Ticket Reopen — appraisal scope Q4-2025</t>
        </is>
      </c>
      <c r="I16" s="9" t="inlineStr">
        <is>
          <t>Per KPI_2025 target</t>
        </is>
      </c>
      <c r="J16" s="9" t="inlineStr">
        <is>
          <t>Evidence-based from KPI/tickets; Actual=Closed=7; defect-themes=0; rework-proxy=0</t>
        </is>
      </c>
    </row>
    <row r="17" ht="90" customHeight="1" s="56">
      <c r="A17" s="9" t="inlineStr">
        <is>
          <t>Krishna</t>
        </is>
      </c>
      <c r="B17" s="9" t="inlineStr">
        <is>
          <t>Q4-2025</t>
        </is>
      </c>
      <c r="C17" s="9" t="inlineStr">
        <is>
          <t>Self Learning</t>
        </is>
      </c>
      <c r="D17" s="35" t="inlineStr">
        <is>
          <t>Yes</t>
        </is>
      </c>
      <c r="E17" s="9" t="n">
        <v>3.5</v>
      </c>
      <c r="F17" s="16" t="inlineStr">
        <is>
          <t>Learning_Evidence!A1</t>
        </is>
      </c>
      <c r="G17" s="9" t="inlineStr">
        <is>
          <t>PMS/Krishna/Krishnaraj_POC_25-26.xlsx</t>
        </is>
      </c>
      <c r="H17" s="9" t="inlineStr">
        <is>
          <t>POC: Resilient API Communication using Polly
Problem: APIs that depend on downstream services can be affected by temporary failures, slow responses, or repeated service failures. The POC was created to understand and demonstrate how API resilience patterns can handle these situations in a controlled manner.
AC: Demonstrate successful downstream communication; automatically retry transient failures; terminate slow requests using timeout handling; open the circuit after repeated failures; return meaningful 502, 503, and 504 responses; document the implementation and validation scenarios.
Stack: .NET 8, ASP.NET Core Web API, C#, Polly, Microsoft.Extensions.Http.Resilience, HttpClient, Swagger/OpenAPI, Dependency Injection, Async/Await</t>
        </is>
      </c>
      <c r="I17" s="9" t="inlineStr">
        <is>
          <t>Gained practical understanding of API resilience, retry and backoff strategies, per-attempt vs overall timeout, circuit breaker states, and handling downstream failures without directly exposing infrastructure exceptions to API consumers.</t>
        </is>
      </c>
      <c r="J17" s="9" t="inlineStr">
        <is>
          <t>See Learning_Evidence Q4-2025 (problem/AC/tech). Source: PMS/Krishna/Krishnaraj_POC_25-26.xlsx</t>
        </is>
      </c>
    </row>
  </sheetData>
  <autoFilter ref="A1:J13"/>
  <hyperlinks>
    <hyperlink ref="F2" location="Ticket_Velocity!A1" display="Ticket_Velocity!A1"/>
    <hyperlink ref="G2" location="Q1-2026_Tickets!A1" display="Q1-2026_Tickets!A1"/>
    <hyperlink ref="F3" location="Helpdesk_Discipline!A1" display="Helpdesk_Discipline!A1"/>
    <hyperlink ref="G3" location="Q1-2026_Tickets!A1" display="Q1-2026_Tickets!A1"/>
    <hyperlink ref="F4" location="CodeChange_Summary!A1" display="CodeChange_Summary!A1"/>
    <hyperlink ref="G4" location="Q1-2026_Tickets!A1" display="Q1-2026_Tickets!A1"/>
    <hyperlink ref="F5" location="Learning_Evidence!A1" display="Learning_Evidence!A1"/>
    <hyperlink xmlns:r="http://schemas.openxmlformats.org/officeDocument/2006/relationships" ref="G5" r:id="rId1"/>
    <hyperlink ref="F6" location="Ticket_Velocity!A1" display="Ticket_Velocity!A1"/>
    <hyperlink ref="G6" location="Q2-2026_Tickets!A1" display="Q2-2026_Tickets!A1"/>
    <hyperlink ref="F7" location="Helpdesk_Discipline!A1" display="Helpdesk_Discipline!A1"/>
    <hyperlink ref="G7" location="Q2-2026_Tickets!A1" display="Q2-2026_Tickets!A1"/>
    <hyperlink ref="F8" location="CodeChange_Summary!A1" display="CodeChange_Summary!A1"/>
    <hyperlink ref="G8" location="Q2-2026_Tickets!A1" display="Q2-2026_Tickets!A1"/>
    <hyperlink ref="F9" location="Learning_Evidence!A1" display="Learning_Evidence!A1"/>
    <hyperlink xmlns:r="http://schemas.openxmlformats.org/officeDocument/2006/relationships" ref="G9" r:id="rId2"/>
    <hyperlink ref="F10" location="Ticket_Velocity!A1" display="Ticket_Velocity!A1"/>
    <hyperlink ref="F11" location="Helpdesk_Discipline!A1" display="Helpdesk_Discipline!A1"/>
    <hyperlink ref="F12" location="Customer_Defect_Themes!A1" display="Customer_Defect_Themes!A1"/>
    <hyperlink ref="F13" location="Learning_Evidence!A1" display="Learning_Evidence!A1"/>
    <hyperlink ref="F14" location="Ticket_Velocity!A1" display="Ticket_Velocity!A1"/>
    <hyperlink ref="G14" location="Q4-2025_Tickets!A1" display="Q4-2025_Tickets!A1"/>
    <hyperlink ref="F15" location="Helpdesk_Discipline!A1" display="Helpdesk_Discipline!A1"/>
    <hyperlink ref="G15" location="Q4-2025_Tickets!A1" display="Q4-2025_Tickets!A1"/>
    <hyperlink ref="F16" location="Customer_Defect_Themes!A1" display="Customer_Defect_Themes!A1"/>
    <hyperlink ref="G16" location="Q4-2025_Tickets!A1" display="Q4-2025_Tickets!A1"/>
    <hyperlink ref="F17" location="Learning_Evidence!A1" display="Learning_Evidence!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40"/>
  <sheetViews>
    <sheetView topLeftCell="A13" workbookViewId="0">
      <selection activeCell="E25" sqref="E25"/>
    </sheetView>
  </sheetViews>
  <sheetFormatPr baseColWidth="8" defaultRowHeight="15"/>
  <cols>
    <col width="40" customWidth="1" style="56" min="1" max="1"/>
    <col width="35" customWidth="1" style="56" min="2" max="2"/>
    <col width="40" customWidth="1" style="56" min="3" max="4"/>
    <col width="35" customWidth="1" style="56" min="5" max="5"/>
    <col width="20" customWidth="1" style="56" min="6" max="6"/>
    <col width="17" customWidth="1" style="56" min="7" max="7"/>
    <col width="27" customWidth="1" style="56" min="8" max="8"/>
    <col width="40" customWidth="1" style="56" min="9" max="10"/>
  </cols>
  <sheetData>
    <row r="1">
      <c r="A1" s="49" t="inlineStr">
        <is>
          <t>Krishna_OKR_Checklist!A1</t>
        </is>
      </c>
      <c r="B1" s="18" t="n"/>
    </row>
    <row r="3" ht="17.25" customHeight="1" s="56">
      <c r="A3" s="2" t="inlineStr">
        <is>
          <t>Krishna — Actual vs Achieved Scorecard (by Quarter)</t>
        </is>
      </c>
    </row>
    <row r="4">
      <c r="A4" s="57" t="inlineStr">
        <is>
          <t>Appraisal scope: 2025 Q3–Q4 + 2026 Q1–Q2. Learning POCs from PMS/Krishna/Krishnaraj_POC_25-26.xlsx (problem/AC/tech on Learning_Evidence). Repo: https://bitbucket.org/msnalashaa/performance-learning-development/src/main/.</t>
        </is>
      </c>
    </row>
    <row r="6">
      <c r="A6" s="25" t="inlineStr">
        <is>
          <t>Quarter</t>
        </is>
      </c>
      <c r="B6" s="25" t="inlineStr">
        <is>
          <t>KPI Area</t>
        </is>
      </c>
      <c r="C6" s="25" t="inlineStr">
        <is>
          <t>Metric</t>
        </is>
      </c>
      <c r="D6" s="25" t="inlineStr">
        <is>
          <t>Target</t>
        </is>
      </c>
      <c r="E6" s="25" t="inlineStr">
        <is>
          <t>Actual</t>
        </is>
      </c>
      <c r="F6" s="22" t="inlineStr">
        <is>
          <t>Yes</t>
        </is>
      </c>
      <c r="G6" s="25" t="inlineStr">
        <is>
          <t>Weightage (KPI)</t>
        </is>
      </c>
      <c r="H6" s="25" t="inlineStr">
        <is>
          <t>Evidence Sheet</t>
        </is>
      </c>
      <c r="I6" s="25" t="inlineStr">
        <is>
          <t>Source KPI Target (short)</t>
        </is>
      </c>
      <c r="J6" s="25" t="inlineStr">
        <is>
          <t>Validation Notes</t>
        </is>
      </c>
    </row>
    <row r="7" ht="30" customHeight="1" s="56">
      <c r="A7" s="4" t="inlineStr">
        <is>
          <t>Q3-2025</t>
        </is>
      </c>
      <c r="B7" s="4" t="inlineStr">
        <is>
          <t>Project Delivery</t>
        </is>
      </c>
      <c r="C7" s="4" t="inlineStr">
        <is>
          <t>Closed / Resolved tickets</t>
        </is>
      </c>
      <c r="D7" s="4" t="inlineStr">
        <is>
          <t>8</t>
        </is>
      </c>
      <c r="E7" s="4" t="n">
        <v>0</v>
      </c>
      <c r="F7" s="50" t="inlineStr">
        <is>
          <t>Yes</t>
        </is>
      </c>
      <c r="G7" s="4" t="n">
        <v>14.5</v>
      </c>
      <c r="H7" s="23" t="inlineStr">
        <is>
          <t>Ticket_Velocity!A1</t>
        </is>
      </c>
      <c r="I7" s="4" t="n"/>
      <c r="J7" s="55" t="inlineStr">
        <is>
          <t>Under training / KT — PM Yes (0 master tickets)</t>
        </is>
      </c>
    </row>
    <row r="8">
      <c r="A8" s="4" t="inlineStr">
        <is>
          <t>Q3-2025</t>
        </is>
      </c>
      <c r="B8" s="4" t="inlineStr">
        <is>
          <t>Process Adherance</t>
        </is>
      </c>
      <c r="C8" s="4" t="inlineStr">
        <is>
          <t>Process checklist</t>
        </is>
      </c>
      <c r="D8" s="4" t="inlineStr">
        <is>
          <t>&gt;=90%</t>
        </is>
      </c>
      <c r="E8" s="4" t="inlineStr">
        <is>
          <t>Tickets=0; closed=0</t>
        </is>
      </c>
      <c r="F8" s="50" t="inlineStr">
        <is>
          <t>Yes</t>
        </is>
      </c>
      <c r="G8" s="4" t="n">
        <v>3</v>
      </c>
      <c r="H8" s="23" t="inlineStr">
        <is>
          <t>Helpdesk_Discipline!A1</t>
        </is>
      </c>
      <c r="I8" s="4" t="n"/>
      <c r="J8" s="4" t="inlineStr">
        <is>
          <t>Quarter score 25/25</t>
        </is>
      </c>
    </row>
    <row r="9">
      <c r="A9" s="4" t="inlineStr">
        <is>
          <t>Q3-2025</t>
        </is>
      </c>
      <c r="B9" s="4" t="inlineStr">
        <is>
          <t>External Bug Count, Ticket Reopen</t>
        </is>
      </c>
      <c r="C9" s="4" t="inlineStr">
        <is>
          <t>Defect themes + rework</t>
        </is>
      </c>
      <c r="D9" s="4" t="inlineStr">
        <is>
          <t>Themes&lt;=4</t>
        </is>
      </c>
      <c r="E9" s="4" t="inlineStr">
        <is>
          <t>Themes=0; Rework=0</t>
        </is>
      </c>
      <c r="F9" s="50" t="inlineStr">
        <is>
          <t>Yes</t>
        </is>
      </c>
      <c r="G9" s="4" t="n">
        <v>4</v>
      </c>
      <c r="H9" s="23" t="inlineStr">
        <is>
          <t>Rework_Reopen_Proxy!A1</t>
        </is>
      </c>
      <c r="I9" s="4" t="n"/>
      <c r="J9" s="4" t="inlineStr">
        <is>
          <t>Quarter score 25/25</t>
        </is>
      </c>
    </row>
    <row r="10" ht="48" customHeight="1" s="56">
      <c r="A10" s="4" t="inlineStr">
        <is>
          <t>Q3-2025</t>
        </is>
      </c>
      <c r="B10" s="4" t="inlineStr">
        <is>
          <t>Self Learning</t>
        </is>
      </c>
      <c r="C10" s="4" t="inlineStr">
        <is>
          <t>Microsoft Authentication Accelerator</t>
        </is>
      </c>
      <c r="D10" s="4" t="inlineStr">
        <is>
          <t>Problem + AC + Tech stack (see Learning_Evidence)</t>
        </is>
      </c>
      <c r="E10" s="4" t="inlineStr">
        <is>
          <t>C#, .NET 8 / .NET class library, MSAL.NET, Microsoft.Extensions.Configuration, Microsoft.Extensions.DependencyInjection,</t>
        </is>
      </c>
      <c r="F10" s="19" t="inlineStr">
        <is>
          <t>Yes</t>
        </is>
      </c>
      <c r="G10" s="4" t="n">
        <v>3.5</v>
      </c>
      <c r="H10" s="23" t="inlineStr">
        <is>
          <t>Learning_Evidence!A1</t>
        </is>
      </c>
      <c r="I10" s="4" t="n"/>
      <c r="J10" s="4" t="inlineStr">
        <is>
          <t>From PMS/Krishna/Krishnaraj_POC_25-26.xlsx</t>
        </is>
      </c>
    </row>
    <row r="11">
      <c r="A11" s="58" t="inlineStr">
        <is>
          <t>Q3-2025</t>
        </is>
      </c>
      <c r="B11" s="58" t="inlineStr">
        <is>
          <t>QUARTER SCORE</t>
        </is>
      </c>
      <c r="C11" s="58" t="inlineStr">
        <is>
          <t>Sum of weightage Achieved=Yes</t>
        </is>
      </c>
      <c r="D11" s="58" t="n">
        <v>25</v>
      </c>
      <c r="E11" s="58" t="inlineStr">
        <is>
          <t>25.0 / 25.0</t>
        </is>
      </c>
      <c r="F11" s="51" t="n">
        <v>25</v>
      </c>
      <c r="G11" s="58" t="n">
        <v>25</v>
      </c>
      <c r="H11" s="58" t="inlineStr">
        <is>
          <t>KPI_2025</t>
        </is>
      </c>
      <c r="I11" s="58" t="n"/>
      <c r="J11" s="58" t="inlineStr">
        <is>
          <t>Score for send-out</t>
        </is>
      </c>
    </row>
    <row r="13">
      <c r="A13" s="4" t="inlineStr">
        <is>
          <t>Q4-2025</t>
        </is>
      </c>
      <c r="B13" s="4" t="inlineStr">
        <is>
          <t>Project Delivery</t>
        </is>
      </c>
      <c r="C13" s="4" t="inlineStr">
        <is>
          <t>Closed / Resolved tickets</t>
        </is>
      </c>
      <c r="D13" s="4" t="inlineStr">
        <is>
          <t>3</t>
        </is>
      </c>
      <c r="E13" s="4" t="n">
        <v>7</v>
      </c>
      <c r="F13" s="50" t="inlineStr">
        <is>
          <t>Yes</t>
        </is>
      </c>
      <c r="G13" s="4" t="n">
        <v>14.5</v>
      </c>
      <c r="H13" s="23" t="inlineStr">
        <is>
          <t>Ticket_Velocity!A1</t>
        </is>
      </c>
      <c r="I13" s="4" t="n"/>
      <c r="J13" s="4" t="inlineStr">
        <is>
          <t>Quarter score 25/25</t>
        </is>
      </c>
    </row>
    <row r="14">
      <c r="A14" s="4" t="inlineStr">
        <is>
          <t>Q4-2025</t>
        </is>
      </c>
      <c r="B14" s="4" t="inlineStr">
        <is>
          <t>Process Adherance</t>
        </is>
      </c>
      <c r="C14" s="4" t="inlineStr">
        <is>
          <t>Process checklist</t>
        </is>
      </c>
      <c r="D14" s="4" t="inlineStr">
        <is>
          <t>&gt;=90%</t>
        </is>
      </c>
      <c r="E14" s="4" t="inlineStr">
        <is>
          <t>Tickets=7; closed=7</t>
        </is>
      </c>
      <c r="F14" s="50" t="inlineStr">
        <is>
          <t>Yes</t>
        </is>
      </c>
      <c r="G14" s="4" t="n">
        <v>3</v>
      </c>
      <c r="H14" s="23" t="inlineStr">
        <is>
          <t>Helpdesk_Discipline!A1</t>
        </is>
      </c>
      <c r="I14" s="4" t="n"/>
      <c r="J14" s="4" t="inlineStr">
        <is>
          <t>Quarter score 25/25</t>
        </is>
      </c>
    </row>
    <row r="15">
      <c r="A15" s="4" t="inlineStr">
        <is>
          <t>Q4-2025</t>
        </is>
      </c>
      <c r="B15" s="4" t="inlineStr">
        <is>
          <t>External Bug Count, Ticket Reopen</t>
        </is>
      </c>
      <c r="C15" s="4" t="inlineStr">
        <is>
          <t>Defect themes + rework</t>
        </is>
      </c>
      <c r="D15" s="4" t="inlineStr">
        <is>
          <t>Themes&lt;=4</t>
        </is>
      </c>
      <c r="E15" s="4" t="inlineStr">
        <is>
          <t>Themes=0; Rework=0</t>
        </is>
      </c>
      <c r="F15" s="50" t="inlineStr">
        <is>
          <t>Yes</t>
        </is>
      </c>
      <c r="G15" s="4" t="n">
        <v>4</v>
      </c>
      <c r="H15" s="23" t="inlineStr">
        <is>
          <t>Rework_Reopen_Proxy!A1</t>
        </is>
      </c>
      <c r="I15" s="4" t="n"/>
      <c r="J15" s="4" t="inlineStr">
        <is>
          <t>Quarter score 25/25</t>
        </is>
      </c>
    </row>
    <row r="16" ht="48" customHeight="1" s="56">
      <c r="A16" s="4" t="inlineStr">
        <is>
          <t>Q4-2025</t>
        </is>
      </c>
      <c r="B16" s="4" t="inlineStr">
        <is>
          <t>Self Learning</t>
        </is>
      </c>
      <c r="C16" s="4" t="inlineStr">
        <is>
          <t>Resilient API Communication using Polly</t>
        </is>
      </c>
      <c r="D16" s="4" t="inlineStr">
        <is>
          <t>Problem + AC + Tech stack (see Learning_Evidence)</t>
        </is>
      </c>
      <c r="E16" s="4" t="inlineStr">
        <is>
          <t>.NET 8, ASP.NET Core Web API, C#, Polly, Microsoft.Extensions.Http.Resilience, HttpClient, Swagger/OpenAPI, Dependency I</t>
        </is>
      </c>
      <c r="F16" s="19" t="inlineStr">
        <is>
          <t>Yes</t>
        </is>
      </c>
      <c r="G16" s="4" t="n">
        <v>3.5</v>
      </c>
      <c r="H16" s="23" t="inlineStr">
        <is>
          <t>Learning_Evidence!A1</t>
        </is>
      </c>
      <c r="I16" s="4" t="n"/>
      <c r="J16" s="4" t="inlineStr">
        <is>
          <t>From PMS/Krishna/Krishnaraj_POC_25-26.xlsx</t>
        </is>
      </c>
    </row>
    <row r="17">
      <c r="A17" s="58" t="inlineStr">
        <is>
          <t>Q4-2025</t>
        </is>
      </c>
      <c r="B17" s="58" t="inlineStr">
        <is>
          <t>QUARTER SCORE</t>
        </is>
      </c>
      <c r="C17" s="58" t="inlineStr">
        <is>
          <t>Sum of weightage Achieved=Yes</t>
        </is>
      </c>
      <c r="D17" s="58" t="n">
        <v>25</v>
      </c>
      <c r="E17" s="58" t="inlineStr">
        <is>
          <t>25.0 / 25.0</t>
        </is>
      </c>
      <c r="F17" s="51" t="n">
        <v>25</v>
      </c>
      <c r="G17" s="58" t="n">
        <v>25</v>
      </c>
      <c r="H17" s="58" t="inlineStr">
        <is>
          <t>KPI_2025</t>
        </is>
      </c>
      <c r="I17" s="58" t="n"/>
      <c r="J17" s="58" t="inlineStr">
        <is>
          <t>Score for send-out</t>
        </is>
      </c>
    </row>
    <row r="19">
      <c r="A19" s="4" t="inlineStr">
        <is>
          <t>Q1-2026</t>
        </is>
      </c>
      <c r="B19" s="4" t="inlineStr">
        <is>
          <t>Execution</t>
        </is>
      </c>
      <c r="C19" s="4" t="inlineStr">
        <is>
          <t>Closed / Resolved tickets</t>
        </is>
      </c>
      <c r="D19" s="4" t="inlineStr">
        <is>
          <t>8</t>
        </is>
      </c>
      <c r="E19" s="4" t="n">
        <v>8</v>
      </c>
      <c r="F19" s="50" t="inlineStr">
        <is>
          <t>Yes</t>
        </is>
      </c>
      <c r="G19" s="4" t="n">
        <v>7.5</v>
      </c>
      <c r="H19" s="23" t="inlineStr">
        <is>
          <t>Ticket_Velocity!A1</t>
        </is>
      </c>
      <c r="I19" s="4" t="n"/>
      <c r="J19" s="4" t="inlineStr">
        <is>
          <t>Quarter score 25/25</t>
        </is>
      </c>
    </row>
    <row r="20" ht="30" customHeight="1" s="56">
      <c r="A20" s="4" t="inlineStr">
        <is>
          <t>Q1-2026</t>
        </is>
      </c>
      <c r="B20" s="4" t="inlineStr">
        <is>
          <t>Quality</t>
        </is>
      </c>
      <c r="C20" s="4" t="inlineStr">
        <is>
          <t>Quality proxies (defect themes / rework)</t>
        </is>
      </c>
      <c r="D20" s="4" t="inlineStr">
        <is>
          <t>Themes&lt;=4; Rework&lt;=20%</t>
        </is>
      </c>
      <c r="E20" s="4" t="inlineStr">
        <is>
          <t>Themes=2; Rework=0; CodeSP=9</t>
        </is>
      </c>
      <c r="F20" s="19" t="inlineStr">
        <is>
          <t>Yes</t>
        </is>
      </c>
      <c r="G20" s="4" t="n">
        <v>12.5</v>
      </c>
      <c r="H20" s="23" t="inlineStr">
        <is>
          <t>Customer_Defect_Themes!A1</t>
        </is>
      </c>
      <c r="I20" s="4" t="n"/>
      <c r="J20" s="4" t="inlineStr">
        <is>
          <t>Quarter score 25/25</t>
        </is>
      </c>
    </row>
    <row r="21" ht="48" customHeight="1" s="56">
      <c r="A21" s="4" t="inlineStr">
        <is>
          <t>Q1-2026</t>
        </is>
      </c>
      <c r="B21" s="4" t="inlineStr">
        <is>
          <t>Learning &amp; Development</t>
        </is>
      </c>
      <c r="C21" s="4" t="inlineStr">
        <is>
          <t>AI-assisted development (Cursor/ChatGPT) and async programming fundamentals. POC</t>
        </is>
      </c>
      <c r="D21" s="4" t="inlineStr">
        <is>
          <t>Problem + AC + Tech stack (see Learning_Evidence)</t>
        </is>
      </c>
      <c r="E21" s="4" t="inlineStr">
        <is>
          <t>C# / .NET 8, Visual Studio 2022, Google Gemini API, Google.GenAI SDK, async/await, System.Text.Json</t>
        </is>
      </c>
      <c r="F21" s="19" t="inlineStr">
        <is>
          <t>Yes</t>
        </is>
      </c>
      <c r="G21" s="4" t="n">
        <v>5</v>
      </c>
      <c r="H21" s="23" t="inlineStr">
        <is>
          <t>Learning_Evidence!A1</t>
        </is>
      </c>
      <c r="I21" s="4" t="n"/>
      <c r="J21" s="4" t="inlineStr">
        <is>
          <t>From PMS/Krishna/Krishnaraj_POC_25-26.xlsx</t>
        </is>
      </c>
    </row>
    <row r="22">
      <c r="A22" s="58" t="inlineStr">
        <is>
          <t>Q1-2026</t>
        </is>
      </c>
      <c r="B22" s="58" t="inlineStr">
        <is>
          <t>QUARTER SCORE</t>
        </is>
      </c>
      <c r="C22" s="58" t="inlineStr">
        <is>
          <t>Sum of weightage Achieved=Yes</t>
        </is>
      </c>
      <c r="D22" s="58" t="n">
        <v>25</v>
      </c>
      <c r="E22" s="58" t="inlineStr">
        <is>
          <t>25.0 / 25.0</t>
        </is>
      </c>
      <c r="F22" s="51" t="n">
        <v>25</v>
      </c>
      <c r="G22" s="58" t="n">
        <v>25</v>
      </c>
      <c r="H22" s="58" t="inlineStr">
        <is>
          <t>KPI_2026</t>
        </is>
      </c>
      <c r="I22" s="58" t="n"/>
      <c r="J22" s="58" t="inlineStr">
        <is>
          <t>Score for send-out</t>
        </is>
      </c>
    </row>
    <row r="24">
      <c r="A24" s="4" t="inlineStr">
        <is>
          <t>Q2-2026</t>
        </is>
      </c>
      <c r="B24" s="4" t="inlineStr">
        <is>
          <t>Execution</t>
        </is>
      </c>
      <c r="C24" s="4" t="inlineStr">
        <is>
          <t>Closed / Resolved tickets</t>
        </is>
      </c>
      <c r="D24" s="4" t="inlineStr">
        <is>
          <t>12</t>
        </is>
      </c>
      <c r="E24" s="4" t="n">
        <v>19</v>
      </c>
      <c r="F24" s="50" t="inlineStr">
        <is>
          <t>Yes</t>
        </is>
      </c>
      <c r="G24" s="4" t="n">
        <v>7.5</v>
      </c>
      <c r="H24" s="23" t="inlineStr">
        <is>
          <t>Ticket_Velocity!A1</t>
        </is>
      </c>
      <c r="I24" s="4" t="n"/>
      <c r="J24" s="4" t="inlineStr">
        <is>
          <t>Quarter score 25/25</t>
        </is>
      </c>
    </row>
    <row r="25" ht="30" customHeight="1" s="56">
      <c r="A25" s="4" t="inlineStr">
        <is>
          <t>Q2-2026</t>
        </is>
      </c>
      <c r="B25" s="4" t="inlineStr">
        <is>
          <t>Quality</t>
        </is>
      </c>
      <c r="C25" s="4" t="inlineStr">
        <is>
          <t>Quality proxies (defect themes / rework)</t>
        </is>
      </c>
      <c r="D25" s="4" t="inlineStr">
        <is>
          <t>Themes&lt;=4; Rework&lt;=20%</t>
        </is>
      </c>
      <c r="E25" s="4" t="inlineStr">
        <is>
          <t>Themes=2; Rework=0; CodeSP=21</t>
        </is>
      </c>
      <c r="F25" s="19" t="inlineStr">
        <is>
          <t>Yes</t>
        </is>
      </c>
      <c r="G25" s="4" t="n">
        <v>12.5</v>
      </c>
      <c r="H25" s="23" t="inlineStr">
        <is>
          <t>Customer_Defect_Themes!A1</t>
        </is>
      </c>
      <c r="I25" s="4" t="n"/>
      <c r="J25" s="4" t="inlineStr">
        <is>
          <t>Quarter score 25/25</t>
        </is>
      </c>
    </row>
    <row r="26" ht="48" customHeight="1" s="56">
      <c r="A26" s="4" t="inlineStr">
        <is>
          <t>Q2-2026</t>
        </is>
      </c>
      <c r="B26" s="4" t="inlineStr">
        <is>
          <t>Learning &amp; Development</t>
        </is>
      </c>
      <c r="C26" s="4" t="inlineStr">
        <is>
          <t>.NET API fundamentals &amp; REST patterns. POC: Build one .NET API module with Swagg</t>
        </is>
      </c>
      <c r="D26" s="4" t="inlineStr">
        <is>
          <t>Problem + AC + Tech stack (see Learning_Evidence)</t>
        </is>
      </c>
      <c r="E26" s="4" t="inlineStr">
        <is>
          <t>.NET 8, ASP.NET Core Web API, C#, Swagger/Swashbuckle, xUnit, WebApplicationFactory, In-memory Repository</t>
        </is>
      </c>
      <c r="F26" s="19" t="inlineStr">
        <is>
          <t>Yes</t>
        </is>
      </c>
      <c r="G26" s="4" t="n">
        <v>5</v>
      </c>
      <c r="H26" s="23" t="inlineStr">
        <is>
          <t>Learning_Evidence!A1</t>
        </is>
      </c>
      <c r="I26" s="4" t="n"/>
      <c r="J26" s="4" t="inlineStr">
        <is>
          <t>From PMS/Krishna/Krishnaraj_POC_25-26.xlsx</t>
        </is>
      </c>
    </row>
    <row r="27">
      <c r="A27" s="58" t="inlineStr">
        <is>
          <t>Q2-2026</t>
        </is>
      </c>
      <c r="B27" s="58" t="inlineStr">
        <is>
          <t>QUARTER SCORE</t>
        </is>
      </c>
      <c r="C27" s="58" t="inlineStr">
        <is>
          <t>Sum of weightage Achieved=Yes</t>
        </is>
      </c>
      <c r="D27" s="58" t="n">
        <v>25</v>
      </c>
      <c r="E27" s="58" t="inlineStr">
        <is>
          <t>25.0 / 25.0</t>
        </is>
      </c>
      <c r="F27" s="51" t="n">
        <v>25</v>
      </c>
      <c r="G27" s="58" t="n">
        <v>25</v>
      </c>
      <c r="H27" s="58" t="inlineStr">
        <is>
          <t>KPI_2026</t>
        </is>
      </c>
      <c r="I27" s="58" t="n"/>
      <c r="J27" s="58" t="inlineStr">
        <is>
          <t>Score for send-out</t>
        </is>
      </c>
    </row>
    <row r="29">
      <c r="A29" s="39" t="inlineStr">
        <is>
          <t>VALIDATION — Ticket totals vs Tickets_Master_Krishna (source of truth)</t>
        </is>
      </c>
    </row>
    <row r="30">
      <c r="A30" s="41" t="inlineStr">
        <is>
          <t>Scope</t>
        </is>
      </c>
      <c r="B30" s="41" t="inlineStr">
        <is>
          <t>Total tickets</t>
        </is>
      </c>
      <c r="C30" s="41" t="inlineStr">
        <is>
          <t>Closed</t>
        </is>
      </c>
      <c r="D30" s="41" t="inlineStr">
        <is>
          <t>Open</t>
        </is>
      </c>
      <c r="E30" s="41" t="inlineStr">
        <is>
          <t>Code Change</t>
        </is>
      </c>
      <c r="F30" s="41" t="inlineStr">
        <is>
          <t>SP Change</t>
        </is>
      </c>
      <c r="G30" s="41" t="inlineStr">
        <is>
          <t>Code Lines</t>
        </is>
      </c>
      <c r="H30" s="52" t="n"/>
    </row>
    <row r="31">
      <c r="A31" s="40" t="inlineStr">
        <is>
          <t>All master</t>
        </is>
      </c>
      <c r="B31" s="40" t="n">
        <v>40</v>
      </c>
      <c r="C31" s="40" t="n">
        <v>37</v>
      </c>
      <c r="D31" s="40" t="n">
        <v>3</v>
      </c>
      <c r="E31" s="40" t="n">
        <v>25</v>
      </c>
      <c r="F31" s="40" t="n">
        <v>23</v>
      </c>
      <c r="G31" s="40" t="n">
        <v>1631</v>
      </c>
    </row>
    <row r="32">
      <c r="A32" s="40" t="inlineStr">
        <is>
          <t>Appraisal quarters only</t>
        </is>
      </c>
      <c r="B32" s="40" t="n">
        <v>37</v>
      </c>
      <c r="C32" s="40" t="n">
        <v>34</v>
      </c>
      <c r="D32" s="40" t="n">
        <v>3</v>
      </c>
      <c r="E32" s="40" t="n">
        <v>22</v>
      </c>
      <c r="F32" s="40" t="n">
        <v>23</v>
      </c>
      <c r="G32" s="40" t="n">
        <v>1475</v>
      </c>
    </row>
    <row r="34">
      <c r="A34" s="39" t="inlineStr">
        <is>
          <t>Per-quarter (must match Ticket_Velocity)</t>
        </is>
      </c>
    </row>
    <row r="35">
      <c r="A35" s="41" t="inlineStr">
        <is>
          <t>Quarter</t>
        </is>
      </c>
      <c r="B35" s="41" t="inlineStr">
        <is>
          <t>Total</t>
        </is>
      </c>
      <c r="C35" s="41" t="inlineStr">
        <is>
          <t>Closed</t>
        </is>
      </c>
      <c r="D35" s="41" t="inlineStr">
        <is>
          <t>Open</t>
        </is>
      </c>
      <c r="E35" s="41" t="inlineStr">
        <is>
          <t>Matches Velocity</t>
        </is>
      </c>
    </row>
    <row r="36">
      <c r="A36" s="40" t="inlineStr">
        <is>
          <t>Q3-2025</t>
        </is>
      </c>
      <c r="B36" s="40" t="n">
        <v>0</v>
      </c>
      <c r="C36" s="40" t="n">
        <v>0</v>
      </c>
      <c r="D36" s="40" t="n">
        <v>0</v>
      </c>
      <c r="E36" s="40" t="inlineStr">
        <is>
          <t>Yes — from master</t>
        </is>
      </c>
    </row>
    <row r="37">
      <c r="A37" s="40" t="inlineStr">
        <is>
          <t>Q4-2025</t>
        </is>
      </c>
      <c r="B37" s="40" t="n">
        <v>7</v>
      </c>
      <c r="C37" s="40" t="n">
        <v>7</v>
      </c>
      <c r="D37" s="40" t="n">
        <v>0</v>
      </c>
      <c r="E37" s="40" t="inlineStr">
        <is>
          <t>Yes — from master</t>
        </is>
      </c>
    </row>
    <row r="38">
      <c r="A38" s="40" t="inlineStr">
        <is>
          <t>Q1-2026</t>
        </is>
      </c>
      <c r="B38" s="40" t="n">
        <v>10</v>
      </c>
      <c r="C38" s="40" t="n">
        <v>8</v>
      </c>
      <c r="D38" s="40" t="n">
        <v>2</v>
      </c>
      <c r="E38" s="40" t="inlineStr">
        <is>
          <t>Yes — from master</t>
        </is>
      </c>
    </row>
    <row r="39">
      <c r="A39" s="40" t="inlineStr">
        <is>
          <t>Q2-2026</t>
        </is>
      </c>
      <c r="B39" s="40" t="n">
        <v>20</v>
      </c>
      <c r="C39" s="40" t="n">
        <v>19</v>
      </c>
      <c r="D39" s="40" t="n">
        <v>1</v>
      </c>
      <c r="E39" s="40" t="inlineStr">
        <is>
          <t>Yes — from master</t>
        </is>
      </c>
    </row>
    <row r="40">
      <c r="A40" s="40" t="inlineStr">
        <is>
          <t>Q3-2026</t>
        </is>
      </c>
      <c r="B40" s="40" t="n">
        <v>3</v>
      </c>
      <c r="C40" s="40" t="n">
        <v>3</v>
      </c>
      <c r="D40" s="40" t="n">
        <v>0</v>
      </c>
      <c r="E40" s="40" t="inlineStr">
        <is>
          <t>Yes — from master</t>
        </is>
      </c>
    </row>
  </sheetData>
  <mergeCells count="1">
    <mergeCell ref="A4:J4"/>
  </mergeCells>
  <hyperlinks>
    <hyperlink ref="A1" location="Krishna_OKR_Checklist!A1" display="Krishna_OKR_Checklist!A1"/>
    <hyperlink ref="H7" location="Ticket_Velocity!A1" display="Ticket_Velocity!A1"/>
    <hyperlink ref="H8" location="Helpdesk_Discipline!A1" display="Helpdesk_Discipline!A1"/>
    <hyperlink ref="H9" location="Rework_Reopen_Proxy!A1" display="Rework_Reopen_Proxy!A1"/>
    <hyperlink ref="H10" location="Learning_Evidence!A1" display="Learning_Evidence!A1"/>
    <hyperlink ref="H13" location="Ticket_Velocity!A1" display="Ticket_Velocity!A1"/>
    <hyperlink ref="H14" location="Helpdesk_Discipline!A1" display="Helpdesk_Discipline!A1"/>
    <hyperlink ref="H15" location="Rework_Reopen_Proxy!A1" display="Rework_Reopen_Proxy!A1"/>
    <hyperlink ref="H16" location="Learning_Evidence!A1" display="Learning_Evidence!A1"/>
    <hyperlink ref="H19" location="Ticket_Velocity!A1" display="Ticket_Velocity!A1"/>
    <hyperlink ref="H20" location="Customer_Defect_Themes!A1" display="Customer_Defect_Themes!A1"/>
    <hyperlink ref="H21" location="Learning_Evidence!A1" display="Learning_Evidence!A1"/>
    <hyperlink ref="H24" location="Ticket_Velocity!A1" display="Ticket_Velocity!A1"/>
    <hyperlink ref="H25" location="Customer_Defect_Themes!A1" display="Customer_Defect_Themes!A1"/>
    <hyperlink ref="H26" location="Learning_Evidence!A1" display="Learning_Evidence!A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12" customWidth="1" style="56" min="1" max="1"/>
    <col width="22" customWidth="1" style="56" min="2" max="2"/>
    <col width="40" customWidth="1" style="56" min="3" max="3"/>
    <col width="48" customWidth="1" style="56" min="4" max="5"/>
    <col width="42" customWidth="1" style="56" min="6" max="6"/>
    <col width="40" customWidth="1" style="56" min="7" max="7"/>
    <col width="14" customWidth="1" style="56" min="8" max="8"/>
    <col width="48" customWidth="1" style="56" min="9" max="9"/>
    <col width="28" customWidth="1" style="56" min="10" max="10"/>
  </cols>
  <sheetData>
    <row r="1" ht="15.75" customHeight="1" s="56">
      <c r="A1" s="18" t="inlineStr">
        <is>
          <t>Krishna_OKR_Checklist!A1</t>
        </is>
      </c>
      <c r="B1" s="27" t="inlineStr">
        <is>
          <t>Krishna_OKR_Checklist!A1</t>
        </is>
      </c>
    </row>
    <row r="3" ht="18.75" customHeight="1" s="56">
      <c r="A3" s="59" t="inlineStr">
        <is>
          <t>Learning_Evidence — Self Learning / L&amp;D POCs (quarter by quarter)</t>
        </is>
      </c>
    </row>
    <row r="4">
      <c r="A4" s="58" t="inlineStr">
        <is>
          <t>Appraisal scope: 2025 Q3–Q4 + 2026 Q1–Q2. POC details from PMS/Krishna/Krishnaraj_POC_25-26.xlsx. Repo (where applicable): https://bitbucket.org/msnalashaa/performance-learning-development/src/main/. Other quarters out of scope.</t>
        </is>
      </c>
    </row>
    <row r="6" ht="30" customHeight="1" s="56">
      <c r="A6" s="28" t="inlineStr">
        <is>
          <t>Quarter</t>
        </is>
      </c>
      <c r="B6" s="28" t="inlineStr">
        <is>
          <t>KPI</t>
        </is>
      </c>
      <c r="C6" s="28" t="inlineStr">
        <is>
          <t>POC / Focus Area</t>
        </is>
      </c>
      <c r="D6" s="28" t="inlineStr">
        <is>
          <t>Problem Statement</t>
        </is>
      </c>
      <c r="E6" s="28" t="inlineStr">
        <is>
          <t>Acceptance Criteria</t>
        </is>
      </c>
      <c r="F6" s="28" t="inlineStr">
        <is>
          <t>Tech Stack</t>
        </is>
      </c>
      <c r="G6" s="28" t="inlineStr">
        <is>
          <t>Evidence Link / Path</t>
        </is>
      </c>
      <c r="H6" s="28" t="inlineStr">
        <is>
          <t>Achieved/Not Achieved</t>
        </is>
      </c>
      <c r="I6" s="28" t="inlineStr">
        <is>
          <t>Primary Deliverable / Outcome</t>
        </is>
      </c>
      <c r="J6" s="28" t="inlineStr">
        <is>
          <t>Comments</t>
        </is>
      </c>
    </row>
    <row r="7" ht="110.1" customHeight="1" s="56">
      <c r="A7" s="8" t="inlineStr">
        <is>
          <t>Q3-2025</t>
        </is>
      </c>
      <c r="B7" s="8" t="inlineStr">
        <is>
          <t>Self Learning</t>
        </is>
      </c>
      <c r="C7" s="8" t="inlineStr">
        <is>
          <t>Microsoft Authentication Accelerator</t>
        </is>
      </c>
      <c r="D7" s="8" t="inlineStr">
        <is>
          <t>Develop a reusable authentication library to simplify Microsoft OAuth 2.0 token acquisition for .NET applications and reduce repeated authentication boilerplate. The accelerator should centralize configuration, token acquisition, error handling, logging, silent token acquisition, and Forgot Password URL generation.</t>
        </is>
      </c>
      <c r="E7" s="8" t="inlineStr">
        <is>
          <t>1) Reusable .NET class library abstracts MSAL OAuth 2.0 token acquisition.
2) Centralized configuration, error handling, logging, silent token acquisition, Forgot Password URL.
3) Simple interface/builder for consumer apps; DI + appsettings-driven config.
4) Validated via console consumer — successfully acquire access token.
5) Demo / learning note for Q3 Self Learning KPI.</t>
        </is>
      </c>
      <c r="F7" s="8" t="inlineStr">
        <is>
          <t>C#, .NET 8 / .NET class library, MSAL.NET, Microsoft.Extensions.Configuration, Microsoft.Extensions.DependencyInjection, Microsoft.Extensions.Logging, Microsoft Identity Platform, OAuth 2.0, appsettings.json</t>
        </is>
      </c>
      <c r="G7" s="8" t="inlineStr">
        <is>
          <t>PMS/Krishna/Krishnaraj_POC_25-26.xlsx</t>
        </is>
      </c>
      <c r="H7" s="29" t="inlineStr">
        <is>
          <t>Yes</t>
        </is>
      </c>
      <c r="I7" s="8" t="inlineStr">
        <is>
          <t>Built a reusable authentication accelerator that abstracts MSAL token-acquisition complexity behind a simple interface and builder. Implemented centralized logging and standardized authentication errors, while allowing consumer applications to handle interactive login when required. Validated the library through a console consumer application and successfully acquired an access token using configuration-driven authentication. Learned how MSAL token flows, token caching/silent acquisition, dependency injection, structured logging, configuration binding, and reusable .NET library design can be combined into a plug-and-play authentication component.</t>
        </is>
      </c>
      <c r="J7" s="8" t="inlineStr">
        <is>
          <t>From PMS/Krishna/Krishnaraj_POC_25-26.xlsx</t>
        </is>
      </c>
    </row>
    <row r="8" ht="110.1" customHeight="1" s="56">
      <c r="A8" s="8" t="inlineStr">
        <is>
          <t>Q4-2025</t>
        </is>
      </c>
      <c r="B8" s="8" t="inlineStr">
        <is>
          <t>Self Learning</t>
        </is>
      </c>
      <c r="C8" s="8" t="inlineStr">
        <is>
          <t>Resilient API Communication using Polly</t>
        </is>
      </c>
      <c r="D8" s="8" t="inlineStr">
        <is>
          <t>APIs that depend on downstream services can be affected by temporary failures, slow responses, or repeated service failures. The POC was created to understand and demonstrate how API resilience patterns can handle these situations in a controlled manner.</t>
        </is>
      </c>
      <c r="E8" s="8" t="inlineStr">
        <is>
          <t>Demonstrate successful downstream communication; automatically retry transient failures; terminate slow requests using timeout handling; open the circuit after repeated failures; return meaningful 502, 503, and 504 responses; document the implementation and validation scenarios.</t>
        </is>
      </c>
      <c r="F8" s="8" t="inlineStr">
        <is>
          <t>.NET 8, ASP.NET Core Web API, C#, Polly, Microsoft.Extensions.Http.Resilience, HttpClient, Swagger/OpenAPI, Dependency Injection, Async/Await</t>
        </is>
      </c>
      <c r="G8" s="8" t="inlineStr">
        <is>
          <t>PMS/Krishna/Krishnaraj_POC_25-26.xlsx</t>
        </is>
      </c>
      <c r="H8" s="29" t="inlineStr">
        <is>
          <t>Yes</t>
        </is>
      </c>
      <c r="I8" s="8" t="inlineStr">
        <is>
          <t>Gained practical understanding of API resilience, retry and backoff strategies, per-attempt vs overall timeout, circuit breaker states, and handling downstream failures without directly exposing infrastructure exceptions to API consumers.</t>
        </is>
      </c>
      <c r="J8" s="8" t="inlineStr">
        <is>
          <t>From PMS/Krishna/Krishnaraj_POC_25-26.xlsx</t>
        </is>
      </c>
    </row>
    <row r="9" ht="110.1" customHeight="1" s="56">
      <c r="A9" s="8" t="inlineStr">
        <is>
          <t>Q1-2026</t>
        </is>
      </c>
      <c r="B9" s="8" t="inlineStr">
        <is>
          <t>Learning &amp; Development</t>
        </is>
      </c>
      <c r="C9" s="8" t="inlineStr">
        <is>
          <t>AI-assisted development (Cursor/ChatGPT) and async programming fundamentals. POC: AI-powered PR/code reviewer assistant.</t>
        </is>
      </c>
      <c r="D9" s="8" t="inlineStr">
        <is>
          <t>Manual code reviews can be time-consuming and may miss common issues such as bugs, null-reference risks, security concerns, performance problems, and async/await issues. The POC explores how AI can assist developers by automatically analyzing Pull Request code changes and providing structured review feedback.</t>
        </is>
      </c>
      <c r="E9" s="8" t="inlineStr">
        <is>
          <t>• Accept a Pull Request-style code diff as input.
• Send the code changes to an AI model for analysis.
• Identify potential bugs, security, performance, async, and code-quality issues.
• Return structured review findings with severity, description, and suggested fixes.
• Use asynchronous programming for file and AI API operations.
• Demonstrate AI-assisted development using ChatGPT/Cursor.</t>
        </is>
      </c>
      <c r="F9" s="8" t="inlineStr">
        <is>
          <t>C# / .NET 8, Visual Studio 2022, Google Gemini API, Google.GenAI SDK, async/await, System.Text.Json</t>
        </is>
      </c>
      <c r="G9" s="27" t="inlineStr">
        <is>
          <t>https://bitbucket.org/msnalashaa/performance-learning-development/src/main/</t>
        </is>
      </c>
      <c r="H9" s="29" t="inlineStr">
        <is>
          <t>Yes</t>
        </is>
      </c>
      <c r="I9" s="8" t="inlineStr">
        <is>
          <t>• Gained practical experience integrating an LLM API into a .NET application.
• Applied async/await and asynchronous I/O for file processing and external API communication.
• Learned prompt engineering for structured AI responses.
• Used AI-assisted development to accelerate coding, debugging, refactoring, and documentation.
• Applied basic separation of concerns through service interfaces, AI service, prompts, and models.
• Established a foundation for future GitHub/GitLab PR automation.</t>
        </is>
      </c>
      <c r="J9" s="8" t="inlineStr">
        <is>
          <t>From PMS/Krishna/Krishnaraj_POC_25-26.xlsx</t>
        </is>
      </c>
    </row>
    <row r="10" ht="110.1" customHeight="1" s="56">
      <c r="A10" s="8" t="inlineStr">
        <is>
          <t>Q2-2026</t>
        </is>
      </c>
      <c r="B10" s="8" t="inlineStr">
        <is>
          <t>Learning &amp; Development</t>
        </is>
      </c>
      <c r="C10" s="8" t="inlineStr">
        <is>
          <t>.NET API fundamentals &amp; REST patterns. POC: Build one .NET API module with Swagger documentation and unit/integration tests.</t>
        </is>
      </c>
      <c r="D10" s="8" t="inlineStr">
        <is>
          <t>Demonstrate the design and implementation of a RESTful .NET API module using standard API patterns, CRUD operations, validation, documentation, and automated testing.</t>
        </is>
      </c>
      <c r="E10" s="8" t="inlineStr">
        <is>
          <t>Build a functional .NET API module with RESTful CRUD endpoints; provide Swagger/OpenAPI documentation; implement request validation and appropriate HTTP status codes; add unit and integration tests with all tests passing.</t>
        </is>
      </c>
      <c r="F10" s="8" t="inlineStr">
        <is>
          <t>.NET 8, ASP.NET Core Web API, C#, Swagger/Swashbuckle, xUnit, WebApplicationFactory, In-memory Repository</t>
        </is>
      </c>
      <c r="G10" s="27" t="inlineStr">
        <is>
          <t>https://bitbucket.org/msnalashaa/performance-learning-development/src/main/</t>
        </is>
      </c>
      <c r="H10" s="29" t="inlineStr">
        <is>
          <t>Yes</t>
        </is>
      </c>
      <c r="I10" s="8" t="inlineStr">
        <is>
          <t>Built and tested a Product REST API with GET, POST, PUT, and DELETE endpoints using Controller-Service-Repository architecture. Added DTO validation, Swagger documentation, and automated testing with 8 unit tests and 5 integration tests, achieving 13/13 passing tests. Gained practical understanding of REST API design, HTTP methods/status codes, dependency injection, API validation, Swagger/OpenAPI, unit testing, and integration testing using WebApplicationFactory.</t>
        </is>
      </c>
      <c r="J10" s="8" t="inlineStr">
        <is>
          <t>From PMS/Krishna/Krishnaraj_POC_25-26.xlsx</t>
        </is>
      </c>
    </row>
  </sheetData>
  <mergeCells count="2">
    <mergeCell ref="A4:J4"/>
    <mergeCell ref="A3:J3"/>
  </mergeCells>
  <hyperlinks>
    <hyperlink ref="A1" location="Krishna_OKR_Checklist!A1" display="Krishna_OKR_Checklist!A1"/>
    <hyperlink ref="B1" location="Krishna_OKR_Checklist!A1" display="Krishna_OKR_Checklist!A1"/>
    <hyperlink xmlns:r="http://schemas.openxmlformats.org/officeDocument/2006/relationships" ref="G9" r:id="rId1"/>
    <hyperlink xmlns:r="http://schemas.openxmlformats.org/officeDocument/2006/relationships" ref="G10"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42" customWidth="1" style="56" min="1" max="1"/>
    <col width="26" customWidth="1" style="56" min="2" max="2"/>
    <col width="17" customWidth="1" style="56" min="3" max="3"/>
    <col width="12" customWidth="1" style="56" min="4" max="5"/>
    <col width="23" customWidth="1" style="56" min="6" max="6"/>
    <col width="42" customWidth="1" style="56" min="7" max="7"/>
  </cols>
  <sheetData>
    <row r="1">
      <c r="A1" s="49" t="inlineStr">
        <is>
          <t>Krishna_OKR_Checklist!A1</t>
        </is>
      </c>
      <c r="B1" s="18" t="n"/>
    </row>
    <row r="3" ht="17.25" customHeight="1" s="56">
      <c r="A3" s="39" t="inlineStr">
        <is>
          <t>Ticket_Velocity — governed by Tickets_Master_Krishna</t>
        </is>
      </c>
    </row>
    <row r="4" ht="75" customHeight="1" s="56">
      <c r="A4" s="53" t="inlineStr">
        <is>
          <t>Counts from master Quarter (Closure Date → Month → Assign). Targets: Q3-2025=8 (training/0 tickets → PM Yes), Q4-2025=3, Q1-2026=8, Q2-2026=12. Yes if closed &gt;= target OR &gt;= 70% of target.</t>
        </is>
      </c>
    </row>
    <row r="6">
      <c r="A6" s="41" t="inlineStr">
        <is>
          <t>Quarter</t>
        </is>
      </c>
      <c r="B6" s="41" t="inlineStr">
        <is>
          <t>Total Tickets</t>
        </is>
      </c>
      <c r="C6" s="41" t="inlineStr">
        <is>
          <t>Closed/Resolved</t>
        </is>
      </c>
      <c r="D6" s="41" t="inlineStr">
        <is>
          <t>Open</t>
        </is>
      </c>
      <c r="E6" s="41" t="inlineStr">
        <is>
          <t>Target</t>
        </is>
      </c>
      <c r="F6" s="41" t="inlineStr">
        <is>
          <t>Yes/No</t>
        </is>
      </c>
      <c r="G6" s="41" t="inlineStr">
        <is>
          <t>Comments</t>
        </is>
      </c>
      <c r="H6" s="41" t="inlineStr">
        <is>
          <t>Source</t>
        </is>
      </c>
    </row>
    <row r="7">
      <c r="A7" s="40" t="inlineStr">
        <is>
          <t>Q3-2025</t>
        </is>
      </c>
      <c r="B7" s="40" t="n">
        <v>0</v>
      </c>
      <c r="C7" s="40" t="n">
        <v>0</v>
      </c>
      <c r="D7" s="40" t="n">
        <v>0</v>
      </c>
      <c r="E7" s="40" t="n">
        <v>8</v>
      </c>
      <c r="F7" s="50" t="inlineStr">
        <is>
          <t>Yes</t>
        </is>
      </c>
      <c r="G7" s="40" t="inlineStr">
        <is>
          <t>Under training / KT — 0 tickets in master; PM Yes</t>
        </is>
      </c>
      <c r="H7" s="40" t="inlineStr">
        <is>
          <t>Tickets_Master_Krishna</t>
        </is>
      </c>
    </row>
    <row r="8">
      <c r="A8" s="40" t="inlineStr">
        <is>
          <t>Q4-2025</t>
        </is>
      </c>
      <c r="B8" s="40" t="n">
        <v>7</v>
      </c>
      <c r="C8" s="40" t="n">
        <v>7</v>
      </c>
      <c r="D8" s="40" t="n">
        <v>0</v>
      </c>
      <c r="E8" s="40" t="n">
        <v>3</v>
      </c>
      <c r="F8" s="50" t="inlineStr">
        <is>
          <t>Yes</t>
        </is>
      </c>
      <c r="G8" s="40" t="inlineStr">
        <is>
          <t>Met target (7/3)</t>
        </is>
      </c>
      <c r="H8" s="40" t="inlineStr">
        <is>
          <t>Tickets_Master_Krishna</t>
        </is>
      </c>
    </row>
    <row r="9">
      <c r="A9" s="40" t="inlineStr">
        <is>
          <t>Q1-2026</t>
        </is>
      </c>
      <c r="B9" s="40" t="n">
        <v>10</v>
      </c>
      <c r="C9" s="40" t="n">
        <v>8</v>
      </c>
      <c r="D9" s="40" t="n">
        <v>2</v>
      </c>
      <c r="E9" s="40" t="n">
        <v>8</v>
      </c>
      <c r="F9" s="50" t="inlineStr">
        <is>
          <t>Yes</t>
        </is>
      </c>
      <c r="G9" s="40" t="inlineStr">
        <is>
          <t>Met target (8/8)</t>
        </is>
      </c>
      <c r="H9" s="40" t="inlineStr">
        <is>
          <t>Tickets_Master_Krishna</t>
        </is>
      </c>
    </row>
    <row r="10">
      <c r="A10" s="40" t="inlineStr">
        <is>
          <t>Q2-2026</t>
        </is>
      </c>
      <c r="B10" s="40" t="n">
        <v>20</v>
      </c>
      <c r="C10" s="40" t="n">
        <v>19</v>
      </c>
      <c r="D10" s="40" t="n">
        <v>1</v>
      </c>
      <c r="E10" s="40" t="n">
        <v>12</v>
      </c>
      <c r="F10" s="50" t="inlineStr">
        <is>
          <t>Yes</t>
        </is>
      </c>
      <c r="G10" s="40" t="inlineStr">
        <is>
          <t>Met target (19/12)</t>
        </is>
      </c>
      <c r="H10" s="40" t="inlineStr">
        <is>
          <t>Tickets_Master_Krishna</t>
        </is>
      </c>
    </row>
    <row r="11">
      <c r="A11" s="40" t="inlineStr">
        <is>
          <t>Q3-2026</t>
        </is>
      </c>
      <c r="B11" s="40" t="n">
        <v>3</v>
      </c>
      <c r="C11" s="40" t="n">
        <v>3</v>
      </c>
      <c r="D11" s="40" t="n">
        <v>0</v>
      </c>
      <c r="E11" s="40" t="inlineStr">
        <is>
          <t>—</t>
        </is>
      </c>
      <c r="F11" s="40" t="inlineStr">
        <is>
          <t>—</t>
        </is>
      </c>
      <c r="G11" s="40" t="inlineStr">
        <is>
          <t>Outside appraisal scope (master completeness)</t>
        </is>
      </c>
      <c r="H11" s="40" t="inlineStr">
        <is>
          <t>Tickets_Master_Krishna</t>
        </is>
      </c>
    </row>
    <row r="13">
      <c r="A13" s="39" t="inlineStr">
        <is>
          <t>MASTER TOTALS</t>
        </is>
      </c>
    </row>
    <row r="14" ht="30" customHeight="1" s="56">
      <c r="A14" s="41" t="inlineStr">
        <is>
          <t>Scope</t>
        </is>
      </c>
      <c r="B14" s="41" t="inlineStr">
        <is>
          <t>Total</t>
        </is>
      </c>
      <c r="C14" s="41" t="inlineStr">
        <is>
          <t>Closed</t>
        </is>
      </c>
      <c r="D14" s="41" t="inlineStr">
        <is>
          <t>Open</t>
        </is>
      </c>
      <c r="E14" s="41" t="inlineStr">
        <is>
          <t>Code Change</t>
        </is>
      </c>
      <c r="F14" s="41" t="inlineStr">
        <is>
          <t>SP Change</t>
        </is>
      </c>
      <c r="G14" s="41" t="inlineStr">
        <is>
          <t>Code Lines</t>
        </is>
      </c>
      <c r="H14" s="41" t="inlineStr">
        <is>
          <t>SQL Lines</t>
        </is>
      </c>
    </row>
    <row r="15">
      <c r="A15" s="40" t="inlineStr">
        <is>
          <t>All master tickets</t>
        </is>
      </c>
      <c r="B15" s="40" t="n">
        <v>40</v>
      </c>
      <c r="C15" s="40" t="n">
        <v>37</v>
      </c>
      <c r="D15" s="40" t="n">
        <v>3</v>
      </c>
      <c r="E15" s="40" t="n">
        <v>25</v>
      </c>
      <c r="F15" s="40" t="n">
        <v>23</v>
      </c>
      <c r="G15" s="40" t="n">
        <v>1631</v>
      </c>
      <c r="H15" s="40" t="n">
        <v>628</v>
      </c>
    </row>
    <row r="16">
      <c r="A16" s="40" t="inlineStr">
        <is>
          <t>Appraisal only (Q3-2025..Q2-2026)</t>
        </is>
      </c>
      <c r="B16" s="40" t="n">
        <v>37</v>
      </c>
      <c r="C16" s="40" t="n">
        <v>34</v>
      </c>
      <c r="D16" s="40" t="n">
        <v>3</v>
      </c>
      <c r="E16" s="40" t="n">
        <v>22</v>
      </c>
      <c r="F16" s="40" t="n">
        <v>23</v>
      </c>
      <c r="G16" s="40" t="n">
        <v>1475</v>
      </c>
      <c r="H16" s="40" t="n">
        <v>628</v>
      </c>
    </row>
  </sheetData>
  <hyperlinks>
    <hyperlink ref="A1" location="Krishna_OKR_Checklist!A1" display="Krishna_OKR_Checklist!A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9"/>
  <sheetViews>
    <sheetView workbookViewId="0">
      <selection activeCell="D8" sqref="D8"/>
    </sheetView>
  </sheetViews>
  <sheetFormatPr baseColWidth="8" defaultRowHeight="15"/>
  <cols>
    <col width="42" customWidth="1" style="56" min="1" max="1"/>
    <col width="26" customWidth="1" style="56" min="2" max="2"/>
    <col width="14" customWidth="1" style="56" min="3" max="3"/>
    <col width="12" customWidth="1" style="56" min="4" max="4"/>
    <col width="23" customWidth="1" style="56" min="5" max="5"/>
    <col width="18" customWidth="1" style="56" min="6" max="6"/>
    <col width="35" customWidth="1" style="56" min="7" max="7"/>
  </cols>
  <sheetData>
    <row r="1">
      <c r="A1" s="18" t="inlineStr">
        <is>
          <t>Krishna_OKR_Checklist!A1</t>
        </is>
      </c>
      <c r="B1" s="18" t="inlineStr">
        <is>
          <t>Krishna_OKR_Checklist!A1</t>
        </is>
      </c>
    </row>
    <row r="3" ht="17.25" customHeight="1" s="56">
      <c r="A3" s="2" t="inlineStr">
        <is>
          <t>Ticket_Spillover (open Helpdesk tickets as spill proxy)</t>
        </is>
      </c>
    </row>
    <row r="4">
      <c r="A4" s="57" t="inlineStr">
        <is>
          <t>Open tickets (InProgress / OnHold / In-UAT / Approver) as spill proxy — no Jira sprint spill field.</t>
        </is>
      </c>
    </row>
    <row r="6">
      <c r="A6" s="25" t="inlineStr">
        <is>
          <t>Quarter</t>
        </is>
      </c>
      <c r="B6" s="25" t="inlineStr">
        <is>
          <t>Total</t>
        </is>
      </c>
      <c r="C6" s="25" t="inlineStr">
        <is>
          <t>Open (spill)</t>
        </is>
      </c>
      <c r="D6" s="25" t="inlineStr">
        <is>
          <t>Spill %</t>
        </is>
      </c>
      <c r="E6" s="25" t="inlineStr">
        <is>
          <t>Achieved/Not Achieved</t>
        </is>
      </c>
      <c r="F6" s="25" t="inlineStr">
        <is>
          <t>Open Ticket Nos.</t>
        </is>
      </c>
      <c r="G6" s="25" t="inlineStr">
        <is>
          <t>Comments</t>
        </is>
      </c>
    </row>
    <row r="7">
      <c r="A7" t="inlineStr">
        <is>
          <t>Q1-2026</t>
        </is>
      </c>
      <c r="B7" t="n">
        <v>10</v>
      </c>
      <c r="C7" t="n">
        <v>2</v>
      </c>
      <c r="D7" t="n">
        <v>20</v>
      </c>
      <c r="E7" s="19" t="inlineStr">
        <is>
          <t>Yes</t>
        </is>
      </c>
      <c r="F7" t="inlineStr">
        <is>
          <t>27665, 32233</t>
        </is>
      </c>
      <c r="G7" t="inlineStr">
        <is>
          <t>Achieved if open&lt;=2 or spill%&lt;=20</t>
        </is>
      </c>
    </row>
    <row r="8">
      <c r="A8" t="inlineStr">
        <is>
          <t>Q2-2026</t>
        </is>
      </c>
      <c r="B8" t="n">
        <v>20</v>
      </c>
      <c r="C8" t="n">
        <v>1</v>
      </c>
      <c r="D8" t="n">
        <v>5</v>
      </c>
      <c r="E8" s="19" t="inlineStr">
        <is>
          <t>Yes</t>
        </is>
      </c>
      <c r="F8" t="inlineStr">
        <is>
          <t>35275</t>
        </is>
      </c>
      <c r="G8" t="inlineStr">
        <is>
          <t>Achieved if open&lt;=2 or spill%&lt;=20</t>
        </is>
      </c>
    </row>
    <row r="9">
      <c r="A9" t="inlineStr">
        <is>
          <t>Q4-2025</t>
        </is>
      </c>
      <c r="B9" t="n">
        <v>7</v>
      </c>
      <c r="C9" t="n">
        <v>0</v>
      </c>
      <c r="D9" t="n">
        <v>0</v>
      </c>
      <c r="E9" s="19" t="inlineStr">
        <is>
          <t>Yes</t>
        </is>
      </c>
      <c r="F9" t="inlineStr">
        <is>
          <t>-</t>
        </is>
      </c>
      <c r="G9" t="inlineStr">
        <is>
          <t>Achieved if open&lt;=2 or spill%&lt;=20</t>
        </is>
      </c>
    </row>
  </sheetData>
  <hyperlinks>
    <hyperlink ref="A1" location="Krishna_OKR_Checklist!A1" display="Krishna_OKR_Checklist!A1"/>
    <hyperlink ref="B1" location="Krishna_OKR_Checklist!A1" display="Krishna_OKR_Checklist!A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9"/>
  <sheetViews>
    <sheetView workbookViewId="0">
      <selection activeCell="D8" sqref="D8"/>
    </sheetView>
  </sheetViews>
  <sheetFormatPr baseColWidth="8" defaultRowHeight="15"/>
  <cols>
    <col width="42" customWidth="1" style="56" min="1" max="1"/>
    <col width="26" customWidth="1" style="56" min="2" max="2"/>
    <col width="16" customWidth="1" style="56" min="3" max="3"/>
    <col width="12" customWidth="1" style="56" min="4" max="5"/>
    <col width="23" customWidth="1" style="56" min="6" max="6"/>
    <col width="42" customWidth="1" style="56" min="7" max="7"/>
  </cols>
  <sheetData>
    <row r="1">
      <c r="A1" s="18" t="inlineStr">
        <is>
          <t>Krishna_OKR_Checklist!A1</t>
        </is>
      </c>
      <c r="B1" s="18" t="inlineStr">
        <is>
          <t>Krishna_OKR_Checklist!A1</t>
        </is>
      </c>
    </row>
    <row r="3" ht="17.25" customHeight="1" s="56">
      <c r="A3" s="2" t="inlineStr">
        <is>
          <t>FirstCut_Quality (Helpdesk Code/SP Change quality proxy)</t>
        </is>
      </c>
    </row>
    <row r="4">
      <c r="A4" s="57" t="inlineStr">
        <is>
          <t>No Jira first-cut QA export. Proxy = Code/SP Change tickets closed with line counts (reviewable change).</t>
        </is>
      </c>
    </row>
    <row r="6">
      <c r="A6" s="25" t="inlineStr">
        <is>
          <t>Quarter</t>
        </is>
      </c>
      <c r="B6" s="25" t="inlineStr">
        <is>
          <t>Code/SP Tickets</t>
        </is>
      </c>
      <c r="C6" s="25" t="inlineStr">
        <is>
          <t>Closed Code/SP</t>
        </is>
      </c>
      <c r="D6" s="25" t="inlineStr">
        <is>
          <t>Code Lines</t>
        </is>
      </c>
      <c r="E6" s="25" t="inlineStr">
        <is>
          <t>SQL Lines</t>
        </is>
      </c>
      <c r="F6" s="25" t="inlineStr">
        <is>
          <t>Achieved/Not Achieved</t>
        </is>
      </c>
      <c r="G6" s="25" t="inlineStr">
        <is>
          <t>Comments</t>
        </is>
      </c>
    </row>
    <row r="7">
      <c r="A7" t="inlineStr">
        <is>
          <t>Q1-2026</t>
        </is>
      </c>
      <c r="B7" t="n">
        <v>10</v>
      </c>
      <c r="C7" t="n">
        <v>8</v>
      </c>
      <c r="D7" t="n">
        <v>433</v>
      </c>
      <c r="E7" t="n">
        <v>182</v>
      </c>
      <c r="F7" s="19" t="inlineStr">
        <is>
          <t>Yes</t>
        </is>
      </c>
      <c r="G7" t="inlineStr">
        <is>
          <t>Quality Achieved — proxy; attach Azure PR screenshots if available</t>
        </is>
      </c>
    </row>
    <row r="8">
      <c r="A8" t="inlineStr">
        <is>
          <t>Q2-2026</t>
        </is>
      </c>
      <c r="B8" t="n">
        <v>20</v>
      </c>
      <c r="C8" t="n">
        <v>19</v>
      </c>
      <c r="D8" t="n">
        <v>790</v>
      </c>
      <c r="E8" t="n">
        <v>318</v>
      </c>
      <c r="F8" s="19" t="inlineStr">
        <is>
          <t>Yes</t>
        </is>
      </c>
      <c r="G8" t="inlineStr">
        <is>
          <t>Quality Achieved — proxy; attach Azure PR screenshots if available</t>
        </is>
      </c>
    </row>
    <row r="9">
      <c r="A9" t="inlineStr">
        <is>
          <t>Q4-2025</t>
        </is>
      </c>
      <c r="B9" t="n">
        <v>7</v>
      </c>
      <c r="C9" t="n">
        <v>7</v>
      </c>
      <c r="D9" t="n">
        <v>252</v>
      </c>
      <c r="E9" t="n">
        <v>128</v>
      </c>
      <c r="F9" s="19" t="inlineStr">
        <is>
          <t>Yes</t>
        </is>
      </c>
      <c r="G9" t="inlineStr">
        <is>
          <t>Quality Achieved — proxy; attach Azure PR screenshots if available</t>
        </is>
      </c>
    </row>
  </sheetData>
  <hyperlinks>
    <hyperlink ref="A1" location="Krishna_OKR_Checklist!A1" display="Krishna_OKR_Checklist!A1"/>
    <hyperlink ref="B1" location="Krishna_OKR_Checklist!A1" display="Krishna_OKR_Checklist!A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9"/>
  <sheetViews>
    <sheetView workbookViewId="0">
      <selection activeCell="C8" sqref="C8"/>
    </sheetView>
  </sheetViews>
  <sheetFormatPr baseColWidth="8" defaultRowHeight="15"/>
  <cols>
    <col width="42" customWidth="1" style="56" min="1" max="1"/>
    <col width="26" customWidth="1" style="56" min="2" max="2"/>
    <col width="19" customWidth="1" style="56" min="3" max="3"/>
    <col width="12" customWidth="1" style="56" min="4" max="5"/>
    <col width="23" customWidth="1" style="56" min="6" max="6"/>
    <col width="42" customWidth="1" style="56" min="7" max="7"/>
  </cols>
  <sheetData>
    <row r="1">
      <c r="A1" s="18" t="inlineStr">
        <is>
          <t>Krishna_OKR_Checklist!A1</t>
        </is>
      </c>
      <c r="B1" s="18" t="inlineStr">
        <is>
          <t>Krishna_OKR_Checklist!A1</t>
        </is>
      </c>
    </row>
    <row r="3" ht="17.25" customHeight="1" s="56">
      <c r="A3" s="2" t="inlineStr">
        <is>
          <t>CodeChange_Summary — Azure DevOps / Bitbucket PR PROXY</t>
        </is>
      </c>
    </row>
    <row r="4">
      <c r="A4" s="57" t="inlineStr">
        <is>
          <t>PR rejection % cannot be pulled (no API permission). This sheet uses Helpdesk Code Change / SP Change + line counts as the auditable change evidence.</t>
        </is>
      </c>
    </row>
    <row r="6">
      <c r="A6" s="25" t="inlineStr">
        <is>
          <t>Quarter</t>
        </is>
      </c>
      <c r="B6" s="25" t="inlineStr">
        <is>
          <t>Code Change Tickets</t>
        </is>
      </c>
      <c r="C6" s="25" t="inlineStr">
        <is>
          <t>SP Change Tickets</t>
        </is>
      </c>
      <c r="D6" s="25" t="inlineStr">
        <is>
          <t>Code Lines</t>
        </is>
      </c>
      <c r="E6" s="25" t="inlineStr">
        <is>
          <t>SQL Lines</t>
        </is>
      </c>
      <c r="F6" s="25" t="inlineStr">
        <is>
          <t>Achieved/Not Achieved</t>
        </is>
      </c>
      <c r="G6" s="25" t="inlineStr">
        <is>
          <t>Comments</t>
        </is>
      </c>
    </row>
    <row r="7">
      <c r="A7" t="inlineStr">
        <is>
          <t>Q1-2026</t>
        </is>
      </c>
      <c r="B7" t="n">
        <v>5</v>
      </c>
      <c r="C7" t="n">
        <v>7</v>
      </c>
      <c r="D7" t="n">
        <v>433</v>
      </c>
      <c r="E7" t="n">
        <v>182</v>
      </c>
      <c r="F7" s="19" t="inlineStr">
        <is>
          <t>Yes</t>
        </is>
      </c>
      <c r="G7" t="inlineStr">
        <is>
          <t>Quality Achieved — Link Other Links → CodeChange_Tickets for row-level list</t>
        </is>
      </c>
    </row>
    <row r="8">
      <c r="A8" t="inlineStr">
        <is>
          <t>Q2-2026</t>
        </is>
      </c>
      <c r="B8" t="n">
        <v>13</v>
      </c>
      <c r="C8" t="n">
        <v>12</v>
      </c>
      <c r="D8" t="n">
        <v>790</v>
      </c>
      <c r="E8" t="n">
        <v>318</v>
      </c>
      <c r="F8" s="19" t="inlineStr">
        <is>
          <t>Yes</t>
        </is>
      </c>
      <c r="G8" t="inlineStr">
        <is>
          <t>Quality Achieved — Link Other Links → CodeChange_Tickets for row-level list</t>
        </is>
      </c>
    </row>
    <row r="9">
      <c r="A9" t="inlineStr">
        <is>
          <t>Q4-2025</t>
        </is>
      </c>
      <c r="B9" t="n">
        <v>4</v>
      </c>
      <c r="C9" t="n">
        <v>4</v>
      </c>
      <c r="D9" t="n">
        <v>252</v>
      </c>
      <c r="E9" t="n">
        <v>128</v>
      </c>
      <c r="F9" s="19" t="inlineStr">
        <is>
          <t>Yes</t>
        </is>
      </c>
      <c r="G9" t="inlineStr">
        <is>
          <t>Quality Achieved — Link Other Links → CodeChange_Tickets for row-level list</t>
        </is>
      </c>
    </row>
  </sheetData>
  <mergeCells count="1">
    <mergeCell ref="A4:G4"/>
  </mergeCells>
  <hyperlinks>
    <hyperlink ref="A1" location="Krishna_OKR_Checklist!A1" display="Krishna_OKR_Checklist!A1"/>
    <hyperlink ref="B1" location="Krishna_OKR_Checklist!A1" display="Krishna_OKR_Checklist!A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46"/>
  <sheetViews>
    <sheetView workbookViewId="0">
      <selection activeCell="B17" sqref="B17"/>
    </sheetView>
  </sheetViews>
  <sheetFormatPr baseColWidth="8" defaultRowHeight="15"/>
  <cols>
    <col width="36" customWidth="1" style="56" min="1" max="2"/>
    <col width="13" customWidth="1" style="56" min="3" max="3"/>
    <col width="12" customWidth="1" style="56" min="4" max="4"/>
    <col width="13" customWidth="1" style="56" min="5" max="5"/>
    <col width="12" customWidth="1" style="56" min="6" max="8"/>
    <col width="21" customWidth="1" style="56" min="9" max="10"/>
    <col width="23" customWidth="1" style="56" min="11" max="11"/>
  </cols>
  <sheetData>
    <row r="1">
      <c r="A1" s="18" t="inlineStr">
        <is>
          <t>Krishna_OKR_Checklist!A1</t>
        </is>
      </c>
      <c r="B1" s="18" t="inlineStr">
        <is>
          <t>Krishna_OKR_Checklist!A1</t>
        </is>
      </c>
    </row>
    <row r="3" ht="17.25" customHeight="1" s="56">
      <c r="A3" s="2" t="inlineStr">
        <is>
          <t>CodeChange_Tickets (row-level Code/SP Change list; paste Azure PR URL when available)</t>
        </is>
      </c>
    </row>
    <row r="4">
      <c r="A4" s="57" t="inlineStr">
        <is>
          <t>Paste Azure DevOps PR URL in column Azure_PR_URL when available (manual — no API).</t>
        </is>
      </c>
    </row>
    <row r="6">
      <c r="A6" s="30" t="inlineStr">
        <is>
          <t>Ticket No.</t>
        </is>
      </c>
      <c r="B6" s="30" t="inlineStr">
        <is>
          <t>Description</t>
        </is>
      </c>
      <c r="C6" s="30" t="inlineStr">
        <is>
          <t>Status</t>
        </is>
      </c>
      <c r="D6" s="30" t="inlineStr">
        <is>
          <t>Quarter</t>
        </is>
      </c>
      <c r="E6" s="30" t="inlineStr">
        <is>
          <t>Code Change</t>
        </is>
      </c>
      <c r="F6" s="30" t="inlineStr">
        <is>
          <t>SP Change</t>
        </is>
      </c>
      <c r="G6" s="30" t="inlineStr">
        <is>
          <t>Code Lines</t>
        </is>
      </c>
      <c r="H6" s="30" t="inlineStr">
        <is>
          <t>SQL Lines</t>
        </is>
      </c>
      <c r="I6" s="31" t="inlineStr">
        <is>
          <t>Assign Date</t>
        </is>
      </c>
      <c r="J6" s="31" t="inlineStr">
        <is>
          <t>Closure Date</t>
        </is>
      </c>
      <c r="K6" s="30" t="inlineStr">
        <is>
          <t>Azure_PR_URL (manual)</t>
        </is>
      </c>
    </row>
    <row r="7">
      <c r="A7" s="4" t="n">
        <v>15635</v>
      </c>
      <c r="B7" s="4" t="inlineStr">
        <is>
          <t>Mass Upload Needed for PRAC</t>
        </is>
      </c>
      <c r="C7" s="4" t="inlineStr">
        <is>
          <t>Closed</t>
        </is>
      </c>
      <c r="D7" s="4" t="inlineStr">
        <is>
          <t>Q1-2026</t>
        </is>
      </c>
      <c r="E7" s="4" t="n"/>
      <c r="F7" s="4" t="inlineStr">
        <is>
          <t>yes</t>
        </is>
      </c>
      <c r="G7" s="4" t="n"/>
      <c r="H7" s="4" t="n">
        <v>44</v>
      </c>
      <c r="I7" s="5" t="n">
        <v>46065</v>
      </c>
      <c r="J7" s="5" t="n">
        <v>46094</v>
      </c>
      <c r="K7" s="4" t="n"/>
    </row>
    <row r="8">
      <c r="A8" s="4" t="n">
        <v>16796</v>
      </c>
      <c r="B8" s="4" t="inlineStr">
        <is>
          <t>Missing steering gear serial number</t>
        </is>
      </c>
      <c r="C8" s="4" t="inlineStr">
        <is>
          <t>Closed</t>
        </is>
      </c>
      <c r="D8" s="4" t="inlineStr">
        <is>
          <t>Q1-2026</t>
        </is>
      </c>
      <c r="E8" s="4" t="inlineStr">
        <is>
          <t>yes</t>
        </is>
      </c>
      <c r="F8" s="4" t="n"/>
      <c r="G8" s="4" t="n">
        <v>94</v>
      </c>
      <c r="H8" s="4" t="n"/>
      <c r="I8" s="5" t="n">
        <v>46056</v>
      </c>
      <c r="J8" s="5" t="n">
        <v>46092</v>
      </c>
      <c r="K8" s="4" t="n"/>
    </row>
    <row r="9" ht="30" customHeight="1" s="56">
      <c r="A9" s="4" t="n">
        <v>27665</v>
      </c>
      <c r="B9" s="4" t="inlineStr">
        <is>
          <t>MDM - PRAC Overview (Add Structure Screen)</t>
        </is>
      </c>
      <c r="C9" s="4" t="inlineStr">
        <is>
          <t>InProgress</t>
        </is>
      </c>
      <c r="D9" s="4" t="inlineStr">
        <is>
          <t>Q1-2026</t>
        </is>
      </c>
      <c r="E9" s="4" t="n"/>
      <c r="F9" s="4" t="inlineStr">
        <is>
          <t>yes</t>
        </is>
      </c>
      <c r="G9" s="4" t="n"/>
      <c r="H9" s="4" t="n">
        <v>22</v>
      </c>
      <c r="I9" s="5" t="n">
        <v>46072</v>
      </c>
      <c r="J9" s="4" t="n"/>
      <c r="K9" s="4" t="n"/>
    </row>
    <row r="10">
      <c r="A10" s="4" t="n">
        <v>29717</v>
      </c>
      <c r="B10" s="4" t="inlineStr">
        <is>
          <t>Supersessions not showing in EPC</t>
        </is>
      </c>
      <c r="C10" s="4" t="inlineStr">
        <is>
          <t>Closed</t>
        </is>
      </c>
      <c r="D10" s="4" t="inlineStr">
        <is>
          <t>Q1-2026</t>
        </is>
      </c>
      <c r="E10" s="4" t="inlineStr">
        <is>
          <t>yes</t>
        </is>
      </c>
      <c r="F10" s="4" t="inlineStr">
        <is>
          <t>yes</t>
        </is>
      </c>
      <c r="G10" s="4" t="n">
        <v>37</v>
      </c>
      <c r="H10" s="4" t="n">
        <v>27</v>
      </c>
      <c r="I10" s="5" t="n">
        <v>45998</v>
      </c>
      <c r="J10" s="5" t="n">
        <v>46031</v>
      </c>
      <c r="K10" s="4" t="n"/>
    </row>
    <row r="11">
      <c r="A11" s="4" t="n">
        <v>32233</v>
      </c>
      <c r="B11" s="4" t="inlineStr">
        <is>
          <t>MDM - Division not updating</t>
        </is>
      </c>
      <c r="C11" s="4" t="inlineStr">
        <is>
          <t>In Progress</t>
        </is>
      </c>
      <c r="D11" s="4" t="inlineStr">
        <is>
          <t>Q1-2026</t>
        </is>
      </c>
      <c r="E11" s="4" t="inlineStr">
        <is>
          <t>yes</t>
        </is>
      </c>
      <c r="F11" s="4" t="inlineStr">
        <is>
          <t>yes</t>
        </is>
      </c>
      <c r="G11" s="4" t="n">
        <v>63</v>
      </c>
      <c r="H11" s="4" t="n">
        <v>15</v>
      </c>
      <c r="I11" s="5" t="n">
        <v>46018</v>
      </c>
      <c r="J11" s="4" t="n"/>
      <c r="K11" s="4" t="n"/>
    </row>
    <row r="12">
      <c r="A12" s="4" t="n">
        <v>32754</v>
      </c>
      <c r="B12" s="4" t="inlineStr">
        <is>
          <t>Vin's not showing up in EPC</t>
        </is>
      </c>
      <c r="C12" s="4" t="inlineStr">
        <is>
          <t>Closed</t>
        </is>
      </c>
      <c r="D12" s="4" t="inlineStr">
        <is>
          <t>Q1-2026</t>
        </is>
      </c>
      <c r="E12" s="4" t="n"/>
      <c r="F12" s="4" t="inlineStr">
        <is>
          <t>yes</t>
        </is>
      </c>
      <c r="G12" s="4" t="n"/>
      <c r="H12" s="4" t="n">
        <v>21</v>
      </c>
      <c r="I12" s="5" t="n">
        <v>46013</v>
      </c>
      <c r="J12" s="5" t="n">
        <v>46049</v>
      </c>
      <c r="K12" s="4" t="n"/>
    </row>
    <row r="13">
      <c r="A13" s="4" t="n">
        <v>32836</v>
      </c>
      <c r="B13" s="4" t="inlineStr">
        <is>
          <t>Vin's not showing up in EPC</t>
        </is>
      </c>
      <c r="C13" s="4" t="inlineStr">
        <is>
          <t>Closed</t>
        </is>
      </c>
      <c r="D13" s="4" t="inlineStr">
        <is>
          <t>Q1-2026</t>
        </is>
      </c>
      <c r="E13" s="4" t="n"/>
      <c r="F13" s="4" t="inlineStr">
        <is>
          <t>yes</t>
        </is>
      </c>
      <c r="G13" s="4" t="n"/>
      <c r="H13" s="4" t="n">
        <v>17</v>
      </c>
      <c r="I13" s="5" t="n">
        <v>46077</v>
      </c>
      <c r="J13" s="5" t="n">
        <v>46100</v>
      </c>
      <c r="K13" s="4" t="n"/>
    </row>
    <row r="14" ht="30" customHeight="1" s="56">
      <c r="A14" s="4" t="n">
        <v>33376</v>
      </c>
      <c r="B14" s="4" t="inlineStr">
        <is>
          <t>EPC Enhancement 2 - VMRS Data in Part Search Table</t>
        </is>
      </c>
      <c r="C14" s="4" t="inlineStr">
        <is>
          <t>Closed</t>
        </is>
      </c>
      <c r="D14" s="4" t="inlineStr">
        <is>
          <t>Q1-2026</t>
        </is>
      </c>
      <c r="E14" s="4" t="inlineStr">
        <is>
          <t>yes</t>
        </is>
      </c>
      <c r="F14" s="4" t="inlineStr">
        <is>
          <t>yes</t>
        </is>
      </c>
      <c r="G14" s="4" t="n">
        <v>94</v>
      </c>
      <c r="H14" s="4" t="n">
        <v>36</v>
      </c>
      <c r="I14" s="5" t="n">
        <v>45997</v>
      </c>
      <c r="J14" s="5" t="n">
        <v>46035</v>
      </c>
      <c r="K14" s="4" t="n"/>
    </row>
    <row r="15" ht="30" customHeight="1" s="56">
      <c r="A15" s="4" t="n">
        <v>33439</v>
      </c>
      <c r="B15" s="4" t="inlineStr">
        <is>
          <t>Volvo built Autocar VINs missing (194*** &amp; 195***)</t>
        </is>
      </c>
      <c r="C15" s="4" t="inlineStr">
        <is>
          <t>Closed</t>
        </is>
      </c>
      <c r="D15" s="4" t="inlineStr">
        <is>
          <t>Q1-2026</t>
        </is>
      </c>
      <c r="E15" s="4" t="inlineStr">
        <is>
          <t>yes</t>
        </is>
      </c>
      <c r="F15" s="4" t="n"/>
      <c r="G15" s="4" t="n">
        <v>100</v>
      </c>
      <c r="H15" s="4" t="n"/>
      <c r="I15" s="5" t="n">
        <v>46018</v>
      </c>
      <c r="J15" s="5" t="n">
        <v>46032</v>
      </c>
      <c r="K15" s="4" t="n"/>
    </row>
    <row r="16">
      <c r="A16" s="4" t="n">
        <v>35062</v>
      </c>
      <c r="B16" s="4" t="inlineStr">
        <is>
          <t>EPC - Module map links are broke</t>
        </is>
      </c>
      <c r="C16" s="4" t="inlineStr">
        <is>
          <t>Closed</t>
        </is>
      </c>
      <c r="D16" s="4" t="inlineStr">
        <is>
          <t>Q1-2026</t>
        </is>
      </c>
      <c r="E16" s="4" t="inlineStr">
        <is>
          <t>yes</t>
        </is>
      </c>
      <c r="F16" s="4" t="n"/>
      <c r="G16" s="4" t="n">
        <v>45</v>
      </c>
      <c r="H16" s="4" t="n"/>
      <c r="I16" s="5" t="n">
        <v>46064</v>
      </c>
      <c r="J16" s="5" t="n">
        <v>46106</v>
      </c>
      <c r="K16" s="4" t="n"/>
    </row>
    <row r="17">
      <c r="A17" s="4" t="n">
        <v>32776</v>
      </c>
      <c r="B17" s="4" t="inlineStr">
        <is>
          <t>Vin's not showing up in EPC</t>
        </is>
      </c>
      <c r="C17" s="4" t="inlineStr">
        <is>
          <t>Closed</t>
        </is>
      </c>
      <c r="D17" s="4" t="inlineStr">
        <is>
          <t>Q2-2026</t>
        </is>
      </c>
      <c r="E17" s="4" t="n"/>
      <c r="F17" s="4" t="inlineStr">
        <is>
          <t>yes</t>
        </is>
      </c>
      <c r="G17" s="4" t="n"/>
      <c r="H17" s="4" t="n">
        <v>19</v>
      </c>
      <c r="I17" s="5" t="n">
        <v>46162</v>
      </c>
      <c r="J17" s="5" t="n">
        <v>46183</v>
      </c>
      <c r="K17" s="4" t="n"/>
    </row>
    <row r="18" ht="30" customHeight="1" s="56">
      <c r="A18" s="4" t="n">
        <v>33585</v>
      </c>
      <c r="B18" s="4" t="inlineStr">
        <is>
          <t>EPC - A2390062-001 wrong 3D image in EPC</t>
        </is>
      </c>
      <c r="C18" s="4" t="inlineStr">
        <is>
          <t>Closed</t>
        </is>
      </c>
      <c r="D18" s="4" t="inlineStr">
        <is>
          <t>Q2-2026</t>
        </is>
      </c>
      <c r="E18" s="4" t="inlineStr">
        <is>
          <t>yes</t>
        </is>
      </c>
      <c r="F18" s="4" t="n"/>
      <c r="G18" s="4" t="n">
        <v>60</v>
      </c>
      <c r="H18" s="4" t="n"/>
      <c r="I18" s="5" t="n">
        <v>46119</v>
      </c>
      <c r="J18" s="5" t="n">
        <v>46149</v>
      </c>
      <c r="K18" s="4" t="n"/>
    </row>
    <row r="19" ht="30" customHeight="1" s="56">
      <c r="A19" s="4" t="n">
        <v>35023</v>
      </c>
      <c r="B19" s="4" t="inlineStr">
        <is>
          <t>MDM - Updated Classification of Attached Parts List</t>
        </is>
      </c>
      <c r="C19" s="4" t="inlineStr">
        <is>
          <t>Closed</t>
        </is>
      </c>
      <c r="D19" s="4" t="inlineStr">
        <is>
          <t>Q2-2026</t>
        </is>
      </c>
      <c r="E19" s="4" t="n"/>
      <c r="F19" s="4" t="inlineStr">
        <is>
          <t>yes</t>
        </is>
      </c>
      <c r="G19" s="4" t="n"/>
      <c r="H19" s="4" t="n">
        <v>25</v>
      </c>
      <c r="I19" s="5" t="n">
        <v>46117</v>
      </c>
      <c r="J19" s="5" t="n">
        <v>46155</v>
      </c>
      <c r="K19" s="4" t="n"/>
    </row>
    <row r="20" ht="30" customHeight="1" s="56">
      <c r="A20" s="4" t="n">
        <v>35275</v>
      </c>
      <c r="B20" s="4" t="inlineStr">
        <is>
          <t>MDM/EPC - Verify that back flush is working correct</t>
        </is>
      </c>
      <c r="C20" s="4" t="inlineStr">
        <is>
          <t>In Progress</t>
        </is>
      </c>
      <c r="D20" s="4" t="inlineStr">
        <is>
          <t>Q2-2026</t>
        </is>
      </c>
      <c r="E20" s="4" t="inlineStr">
        <is>
          <t>yes</t>
        </is>
      </c>
      <c r="F20" s="4" t="inlineStr">
        <is>
          <t>yes</t>
        </is>
      </c>
      <c r="G20" s="4" t="n">
        <v>58</v>
      </c>
      <c r="H20" s="4" t="n">
        <v>20</v>
      </c>
      <c r="I20" s="5" t="n">
        <v>46123</v>
      </c>
      <c r="J20" s="4" t="n"/>
      <c r="K20" s="4" t="n"/>
    </row>
    <row r="21">
      <c r="A21" s="4" t="n">
        <v>35340</v>
      </c>
      <c r="B21" s="4" t="inlineStr">
        <is>
          <t>Vin. 227848 not showing up in EPC</t>
        </is>
      </c>
      <c r="C21" s="4" t="inlineStr">
        <is>
          <t>Closed</t>
        </is>
      </c>
      <c r="D21" s="4" t="inlineStr">
        <is>
          <t>Q2-2026</t>
        </is>
      </c>
      <c r="E21" s="4" t="n"/>
      <c r="F21" s="4" t="inlineStr">
        <is>
          <t>yes</t>
        </is>
      </c>
      <c r="G21" s="4" t="n"/>
      <c r="H21" s="4" t="n">
        <v>25</v>
      </c>
      <c r="I21" s="5" t="n">
        <v>46161</v>
      </c>
      <c r="J21" s="5" t="n">
        <v>46199</v>
      </c>
      <c r="K21" s="4" t="n"/>
    </row>
    <row r="22" ht="30" customHeight="1" s="56">
      <c r="A22" s="4" t="n">
        <v>35609</v>
      </c>
      <c r="B22" s="4" t="inlineStr">
        <is>
          <t>Replaced by part numbers in EPC are no longer displaying</t>
        </is>
      </c>
      <c r="C22" s="4" t="inlineStr">
        <is>
          <t>Closed</t>
        </is>
      </c>
      <c r="D22" s="4" t="inlineStr">
        <is>
          <t>Q2-2026</t>
        </is>
      </c>
      <c r="E22" s="4" t="inlineStr">
        <is>
          <t>yes</t>
        </is>
      </c>
      <c r="F22" s="4" t="n"/>
      <c r="G22" s="4" t="n">
        <v>96</v>
      </c>
      <c r="H22" s="4" t="n"/>
      <c r="I22" s="5" t="n">
        <v>46123</v>
      </c>
      <c r="J22" s="5" t="n">
        <v>46146</v>
      </c>
      <c r="K22" s="4" t="n"/>
    </row>
    <row r="23">
      <c r="A23" s="4" t="n">
        <v>35692</v>
      </c>
      <c r="B23" s="4" t="inlineStr">
        <is>
          <t>EPC - A2390062-001 3D image</t>
        </is>
      </c>
      <c r="C23" s="4" t="inlineStr">
        <is>
          <t>Closed</t>
        </is>
      </c>
      <c r="D23" s="4" t="inlineStr">
        <is>
          <t>Q2-2026</t>
        </is>
      </c>
      <c r="E23" s="4" t="inlineStr">
        <is>
          <t>yes</t>
        </is>
      </c>
      <c r="F23" s="4" t="n"/>
      <c r="G23" s="4" t="n">
        <v>65</v>
      </c>
      <c r="H23" s="4" t="n"/>
      <c r="I23" s="5" t="n">
        <v>46129</v>
      </c>
      <c r="J23" s="5" t="n">
        <v>46171</v>
      </c>
      <c r="K23" s="4" t="n"/>
    </row>
    <row r="24" ht="30" customHeight="1" s="56">
      <c r="A24" s="4" t="n">
        <v>35860</v>
      </c>
      <c r="B24" s="4" t="inlineStr">
        <is>
          <t>EPC customer unable to add items to cart</t>
        </is>
      </c>
      <c r="C24" s="4" t="inlineStr">
        <is>
          <t>Closed</t>
        </is>
      </c>
      <c r="D24" s="4" t="inlineStr">
        <is>
          <t>Q2-2026</t>
        </is>
      </c>
      <c r="E24" s="4" t="n"/>
      <c r="F24" s="4" t="inlineStr">
        <is>
          <t>yes</t>
        </is>
      </c>
      <c r="G24" s="4" t="n"/>
      <c r="H24" s="4" t="n">
        <v>22</v>
      </c>
      <c r="I24" s="5" t="n">
        <v>46122</v>
      </c>
      <c r="J24" s="5" t="n">
        <v>46152</v>
      </c>
      <c r="K24" s="4" t="n"/>
    </row>
    <row r="25">
      <c r="A25" s="4" t="n">
        <v>36707</v>
      </c>
      <c r="B25" s="4" t="inlineStr">
        <is>
          <t>Vin. 252789 not showing up in EPC</t>
        </is>
      </c>
      <c r="C25" s="4" t="inlineStr">
        <is>
          <t>Closed</t>
        </is>
      </c>
      <c r="D25" s="4" t="inlineStr">
        <is>
          <t>Q2-2026</t>
        </is>
      </c>
      <c r="E25" s="4" t="inlineStr">
        <is>
          <t>yes</t>
        </is>
      </c>
      <c r="F25" s="4" t="n"/>
      <c r="G25" s="4" t="n">
        <v>46</v>
      </c>
      <c r="H25" s="4" t="n"/>
      <c r="I25" s="5" t="n">
        <v>46150</v>
      </c>
      <c r="J25" s="5" t="n">
        <v>46186</v>
      </c>
      <c r="K25" s="4" t="n"/>
    </row>
    <row r="26" ht="30" customHeight="1" s="56">
      <c r="A26" s="4" t="n">
        <v>37105</v>
      </c>
      <c r="B26" s="4" t="inlineStr">
        <is>
          <t>Accounting issue with setting up a customer in the system - MDM</t>
        </is>
      </c>
      <c r="C26" s="4" t="inlineStr">
        <is>
          <t>Closed</t>
        </is>
      </c>
      <c r="D26" s="4" t="inlineStr">
        <is>
          <t>Q2-2026</t>
        </is>
      </c>
      <c r="E26" s="4" t="inlineStr">
        <is>
          <t>yes</t>
        </is>
      </c>
      <c r="F26" s="4" t="n"/>
      <c r="G26" s="4" t="n">
        <v>66</v>
      </c>
      <c r="H26" s="4" t="n"/>
      <c r="I26" s="5" t="n">
        <v>46155</v>
      </c>
      <c r="J26" s="5" t="n">
        <v>46199</v>
      </c>
      <c r="K26" s="4" t="n"/>
    </row>
    <row r="27">
      <c r="A27" s="4" t="n">
        <v>37321</v>
      </c>
      <c r="B27" s="4" t="inlineStr">
        <is>
          <t>239002 VIN. not showing up in EPC</t>
        </is>
      </c>
      <c r="C27" s="4" t="inlineStr">
        <is>
          <t>Closed</t>
        </is>
      </c>
      <c r="D27" s="4" t="inlineStr">
        <is>
          <t>Q2-2026</t>
        </is>
      </c>
      <c r="E27" s="4" t="inlineStr">
        <is>
          <t>yes</t>
        </is>
      </c>
      <c r="F27" s="4" t="inlineStr">
        <is>
          <t>yes</t>
        </is>
      </c>
      <c r="G27" s="4" t="n">
        <v>34</v>
      </c>
      <c r="H27" s="4" t="n">
        <v>23</v>
      </c>
      <c r="I27" s="5" t="n">
        <v>46146</v>
      </c>
      <c r="J27" s="5" t="n">
        <v>46191</v>
      </c>
      <c r="K27" s="4" t="n"/>
    </row>
    <row r="28">
      <c r="A28" s="4" t="n">
        <v>38045</v>
      </c>
      <c r="B28" s="4" t="inlineStr">
        <is>
          <t>EPC - Not showing the NetSuite stock</t>
        </is>
      </c>
      <c r="C28" s="4" t="inlineStr">
        <is>
          <t>Closed</t>
        </is>
      </c>
      <c r="D28" s="4" t="inlineStr">
        <is>
          <t>Q2-2026</t>
        </is>
      </c>
      <c r="E28" s="4" t="inlineStr">
        <is>
          <t>yes</t>
        </is>
      </c>
      <c r="F28" s="4" t="inlineStr">
        <is>
          <t>yes</t>
        </is>
      </c>
      <c r="G28" s="4" t="n">
        <v>38</v>
      </c>
      <c r="H28" s="4" t="n">
        <v>35</v>
      </c>
      <c r="I28" s="5" t="n">
        <v>46145</v>
      </c>
      <c r="J28" s="5" t="n">
        <v>46179</v>
      </c>
      <c r="K28" s="4" t="n"/>
    </row>
    <row r="29">
      <c r="A29" s="4" t="n">
        <v>38288</v>
      </c>
      <c r="B29" s="4" t="inlineStr">
        <is>
          <t>A7636002E011 not showing in EPC</t>
        </is>
      </c>
      <c r="C29" s="4" t="inlineStr">
        <is>
          <t>Closed</t>
        </is>
      </c>
      <c r="D29" s="4" t="inlineStr">
        <is>
          <t>Q2-2026</t>
        </is>
      </c>
      <c r="E29" s="4" t="n"/>
      <c r="F29" s="4" t="inlineStr">
        <is>
          <t>yes</t>
        </is>
      </c>
      <c r="G29" s="4" t="n"/>
      <c r="H29" s="4" t="n">
        <v>22</v>
      </c>
      <c r="I29" s="5" t="n">
        <v>46161</v>
      </c>
      <c r="J29" s="5" t="n">
        <v>46192</v>
      </c>
      <c r="K29" s="4" t="n"/>
    </row>
    <row r="30" ht="30" customHeight="1" s="56">
      <c r="A30" s="4" t="n">
        <v>38325</v>
      </c>
      <c r="B30" s="4" t="inlineStr">
        <is>
          <t>Implement Microsoft Clarity on the EPC portal</t>
        </is>
      </c>
      <c r="C30" s="4" t="inlineStr">
        <is>
          <t>Closed</t>
        </is>
      </c>
      <c r="D30" s="4" t="inlineStr">
        <is>
          <t>Q2-2026</t>
        </is>
      </c>
      <c r="E30" s="4" t="n"/>
      <c r="F30" s="4" t="inlineStr">
        <is>
          <t>yes</t>
        </is>
      </c>
      <c r="G30" s="4" t="n"/>
      <c r="H30" s="4" t="n">
        <v>22</v>
      </c>
      <c r="I30" s="5" t="n">
        <v>46162</v>
      </c>
      <c r="J30" s="5" t="n">
        <v>46192</v>
      </c>
      <c r="K30" s="4" t="n"/>
    </row>
    <row r="31" ht="30" customHeight="1" s="56">
      <c r="A31" s="4" t="n">
        <v>38355</v>
      </c>
      <c r="B31" s="4" t="inlineStr">
        <is>
          <t>Get blank screen when clicking on Replaced by # in QAD</t>
        </is>
      </c>
      <c r="C31" s="4" t="inlineStr">
        <is>
          <t>Closed</t>
        </is>
      </c>
      <c r="D31" s="4" t="inlineStr">
        <is>
          <t>Q2-2026</t>
        </is>
      </c>
      <c r="E31" s="4" t="inlineStr">
        <is>
          <t>yes</t>
        </is>
      </c>
      <c r="F31" s="4" t="inlineStr">
        <is>
          <t>yes</t>
        </is>
      </c>
      <c r="G31" s="4" t="n">
        <v>50</v>
      </c>
      <c r="H31" s="4" t="n">
        <v>30</v>
      </c>
      <c r="I31" s="5" t="n">
        <v>46151</v>
      </c>
      <c r="J31" s="5" t="n">
        <v>46191</v>
      </c>
      <c r="K31" s="4" t="n"/>
    </row>
    <row r="32">
      <c r="A32" s="4" t="n">
        <v>39016</v>
      </c>
      <c r="B32" s="4" t="inlineStr">
        <is>
          <t>MDM - Saving part with NA</t>
        </is>
      </c>
      <c r="C32" s="4" t="inlineStr">
        <is>
          <t>Closed</t>
        </is>
      </c>
      <c r="D32" s="4" t="inlineStr">
        <is>
          <t>Q2-2026</t>
        </is>
      </c>
      <c r="E32" s="4" t="inlineStr">
        <is>
          <t>yes</t>
        </is>
      </c>
      <c r="F32" s="4" t="n"/>
      <c r="G32" s="4" t="n">
        <v>92</v>
      </c>
      <c r="H32" s="4" t="n"/>
      <c r="I32" s="5" t="n">
        <v>46156</v>
      </c>
      <c r="J32" s="5" t="n">
        <v>46196</v>
      </c>
      <c r="K32" s="4" t="n"/>
    </row>
    <row r="33">
      <c r="A33" s="4" t="n">
        <v>39212</v>
      </c>
      <c r="B33" s="4" t="inlineStr">
        <is>
          <t>BOM classifications</t>
        </is>
      </c>
      <c r="C33" s="4" t="inlineStr">
        <is>
          <t>Closed</t>
        </is>
      </c>
      <c r="D33" s="4" t="inlineStr">
        <is>
          <t>Q2-2026</t>
        </is>
      </c>
      <c r="E33" s="4" t="inlineStr">
        <is>
          <t>yes</t>
        </is>
      </c>
      <c r="F33" s="4" t="n"/>
      <c r="G33" s="4" t="n">
        <v>89</v>
      </c>
      <c r="H33" s="4" t="n"/>
      <c r="I33" s="5" t="n">
        <v>46126</v>
      </c>
      <c r="J33" s="5" t="n">
        <v>46165</v>
      </c>
      <c r="K33" s="4" t="n"/>
    </row>
    <row r="34" ht="30" customHeight="1" s="56">
      <c r="A34" s="4" t="n">
        <v>41075</v>
      </c>
      <c r="B34" s="4" t="inlineStr">
        <is>
          <t>Autocar EPC - VMRS Search Functionality Rollout</t>
        </is>
      </c>
      <c r="C34" s="4" t="inlineStr">
        <is>
          <t>Closed</t>
        </is>
      </c>
      <c r="D34" s="4" t="inlineStr">
        <is>
          <t>Q2-2026</t>
        </is>
      </c>
      <c r="E34" s="4" t="n"/>
      <c r="F34" s="4" t="inlineStr">
        <is>
          <t>yes</t>
        </is>
      </c>
      <c r="G34" s="4" t="n"/>
      <c r="H34" s="4" t="n">
        <v>44</v>
      </c>
      <c r="I34" s="5" t="n">
        <v>46152</v>
      </c>
      <c r="J34" s="5" t="n">
        <v>46183</v>
      </c>
      <c r="K34" s="4" t="n"/>
    </row>
    <row r="35">
      <c r="A35" s="4" t="n">
        <v>41559</v>
      </c>
      <c r="B35" s="4" t="inlineStr">
        <is>
          <t>Overwrite Images on EPC Website</t>
        </is>
      </c>
      <c r="C35" s="4" t="inlineStr">
        <is>
          <t>Closed</t>
        </is>
      </c>
      <c r="D35" s="4" t="inlineStr">
        <is>
          <t>Q2-2026</t>
        </is>
      </c>
      <c r="E35" s="4" t="inlineStr">
        <is>
          <t>yes</t>
        </is>
      </c>
      <c r="F35" s="4" t="n"/>
      <c r="G35" s="4" t="n">
        <v>96</v>
      </c>
      <c r="H35" s="4" t="n"/>
      <c r="I35" s="5" t="n">
        <v>46163</v>
      </c>
      <c r="J35" s="5" t="n">
        <v>46183</v>
      </c>
      <c r="K35" s="4" t="n"/>
    </row>
    <row r="36">
      <c r="A36" s="4" t="n">
        <v>41725</v>
      </c>
      <c r="B36" s="4" t="inlineStr">
        <is>
          <t>MDM - No longer receiving emails</t>
        </is>
      </c>
      <c r="C36" s="4" t="inlineStr">
        <is>
          <t>Closed</t>
        </is>
      </c>
      <c r="D36" s="4" t="inlineStr">
        <is>
          <t>Q2-2026</t>
        </is>
      </c>
      <c r="E36" s="4" t="n"/>
      <c r="F36" s="4" t="inlineStr">
        <is>
          <t>yes</t>
        </is>
      </c>
      <c r="G36" s="4" t="n"/>
      <c r="H36" s="4" t="n">
        <v>31</v>
      </c>
      <c r="I36" s="5" t="n">
        <v>46156</v>
      </c>
      <c r="J36" s="5" t="n">
        <v>46180</v>
      </c>
      <c r="K36" s="4" t="n"/>
    </row>
    <row r="37">
      <c r="A37" s="4" t="n">
        <v>32233</v>
      </c>
      <c r="B37" s="4" t="inlineStr">
        <is>
          <t>MDM - Division not updating</t>
        </is>
      </c>
      <c r="C37" s="4" t="inlineStr">
        <is>
          <t>Closed</t>
        </is>
      </c>
      <c r="D37" s="4" t="inlineStr">
        <is>
          <t>Q3-2026</t>
        </is>
      </c>
      <c r="E37" s="4" t="inlineStr">
        <is>
          <t>yes</t>
        </is>
      </c>
      <c r="F37" s="4" t="n"/>
      <c r="G37" s="4" t="n">
        <v>43</v>
      </c>
      <c r="H37" s="4" t="n"/>
      <c r="I37" s="5" t="n">
        <v>46187</v>
      </c>
      <c r="J37" s="5" t="n">
        <v>46227</v>
      </c>
      <c r="K37" s="4" t="n"/>
    </row>
    <row r="38">
      <c r="A38" s="4" t="n">
        <v>42428</v>
      </c>
      <c r="B38" s="4" t="inlineStr">
        <is>
          <t>Update EPC website Parts List</t>
        </is>
      </c>
      <c r="C38" s="4" t="inlineStr">
        <is>
          <t>Closed</t>
        </is>
      </c>
      <c r="D38" s="4" t="inlineStr">
        <is>
          <t>Q3-2026</t>
        </is>
      </c>
      <c r="E38" s="4" t="inlineStr">
        <is>
          <t>yes</t>
        </is>
      </c>
      <c r="F38" s="4" t="n"/>
      <c r="G38" s="4" t="n">
        <v>77</v>
      </c>
      <c r="H38" s="4" t="n"/>
      <c r="I38" s="5" t="n">
        <v>46180</v>
      </c>
      <c r="J38" s="5" t="n">
        <v>46219</v>
      </c>
      <c r="K38" s="4" t="n"/>
    </row>
    <row r="39" ht="30" customHeight="1" s="56">
      <c r="A39" s="4" t="n">
        <v>42621</v>
      </c>
      <c r="B39" s="4" t="inlineStr">
        <is>
          <t>A3T12001E044 EPC website Part Discrepancy</t>
        </is>
      </c>
      <c r="C39" s="4" t="inlineStr">
        <is>
          <t>Closed</t>
        </is>
      </c>
      <c r="D39" s="4" t="inlineStr">
        <is>
          <t>Q3-2026</t>
        </is>
      </c>
      <c r="E39" s="4" t="inlineStr">
        <is>
          <t>yes</t>
        </is>
      </c>
      <c r="F39" s="4" t="n"/>
      <c r="G39" s="4" t="n">
        <v>36</v>
      </c>
      <c r="H39" s="4" t="n"/>
      <c r="I39" s="5" t="n">
        <v>46195</v>
      </c>
      <c r="J39" s="5" t="n">
        <v>46229</v>
      </c>
      <c r="K39" s="4" t="n"/>
    </row>
    <row r="40">
      <c r="A40" s="4" t="n">
        <v>21832</v>
      </c>
      <c r="B40" s="4" t="inlineStr">
        <is>
          <t>BOMs to Service add date</t>
        </is>
      </c>
      <c r="C40" s="4" t="inlineStr">
        <is>
          <t>Closed</t>
        </is>
      </c>
      <c r="D40" s="4" t="inlineStr">
        <is>
          <t>Q4-2025</t>
        </is>
      </c>
      <c r="E40" s="4" t="inlineStr">
        <is>
          <t>yes</t>
        </is>
      </c>
      <c r="F40" s="4" t="inlineStr">
        <is>
          <t>yes</t>
        </is>
      </c>
      <c r="G40" s="4" t="n">
        <v>72</v>
      </c>
      <c r="H40" s="4" t="n">
        <v>22</v>
      </c>
      <c r="I40" s="5" t="n">
        <v>45977</v>
      </c>
      <c r="J40" s="5" t="n">
        <v>46006</v>
      </c>
      <c r="K40" s="4" t="n"/>
    </row>
    <row r="41">
      <c r="A41" s="4" t="n">
        <v>28027</v>
      </c>
      <c r="B41" s="4" t="inlineStr">
        <is>
          <t>Is Serviced Toggle</t>
        </is>
      </c>
      <c r="C41" s="4" t="inlineStr">
        <is>
          <t>Closed</t>
        </is>
      </c>
      <c r="D41" s="4" t="inlineStr">
        <is>
          <t>Q4-2025</t>
        </is>
      </c>
      <c r="E41" s="4" t="inlineStr">
        <is>
          <t>yes</t>
        </is>
      </c>
      <c r="F41" s="4" t="n"/>
      <c r="G41" s="4" t="n">
        <v>58</v>
      </c>
      <c r="H41" s="4" t="n"/>
      <c r="I41" s="5" t="n">
        <v>45971</v>
      </c>
      <c r="J41" s="5" t="n">
        <v>46020</v>
      </c>
      <c r="K41" s="4" t="n"/>
    </row>
    <row r="42">
      <c r="A42" s="4" t="n">
        <v>28303</v>
      </c>
      <c r="B42" s="4" t="inlineStr">
        <is>
          <t>KIT S1209010K001</t>
        </is>
      </c>
      <c r="C42" s="4" t="inlineStr">
        <is>
          <t>Closed</t>
        </is>
      </c>
      <c r="D42" s="4" t="inlineStr">
        <is>
          <t>Q4-2025</t>
        </is>
      </c>
      <c r="E42" s="4" t="inlineStr">
        <is>
          <t>yes</t>
        </is>
      </c>
      <c r="F42" s="4" t="n"/>
      <c r="G42" s="4" t="n">
        <v>31</v>
      </c>
      <c r="H42" s="4" t="n"/>
      <c r="I42" s="5" t="n">
        <v>45946</v>
      </c>
      <c r="J42" s="5" t="n">
        <v>45972</v>
      </c>
      <c r="K42" s="4" t="n"/>
    </row>
    <row r="43">
      <c r="A43" s="4" t="n">
        <v>29130</v>
      </c>
      <c r="B43" s="4" t="inlineStr">
        <is>
          <t>Showing non-invoiced VINs</t>
        </is>
      </c>
      <c r="C43" s="4" t="inlineStr">
        <is>
          <t>Closed</t>
        </is>
      </c>
      <c r="D43" s="4" t="inlineStr">
        <is>
          <t>Q4-2025</t>
        </is>
      </c>
      <c r="E43" s="4" t="inlineStr">
        <is>
          <t>yes</t>
        </is>
      </c>
      <c r="F43" s="4" t="n"/>
      <c r="G43" s="4" t="n">
        <v>91</v>
      </c>
      <c r="H43" s="4" t="n"/>
      <c r="I43" s="5" t="n">
        <v>45911</v>
      </c>
      <c r="J43" s="5" t="n">
        <v>45952</v>
      </c>
      <c r="K43" s="4" t="n"/>
    </row>
    <row r="44" ht="30" customHeight="1" s="56">
      <c r="A44" s="4" t="n">
        <v>30304</v>
      </c>
      <c r="B44" s="4" t="inlineStr">
        <is>
          <t>A3885000E049 &amp; A7352001E129 EPC Part List discrepancies</t>
        </is>
      </c>
      <c r="C44" s="4" t="inlineStr">
        <is>
          <t>Closed</t>
        </is>
      </c>
      <c r="D44" s="4" t="inlineStr">
        <is>
          <t>Q4-2025</t>
        </is>
      </c>
      <c r="E44" s="4" t="n"/>
      <c r="F44" s="4" t="inlineStr">
        <is>
          <t>yes</t>
        </is>
      </c>
      <c r="G44" s="4" t="n"/>
      <c r="H44" s="4" t="n">
        <v>36</v>
      </c>
      <c r="I44" s="5" t="n">
        <v>45959</v>
      </c>
      <c r="J44" s="5" t="n">
        <v>45980</v>
      </c>
      <c r="K44" s="4" t="n"/>
    </row>
    <row r="45" ht="30" customHeight="1" s="56">
      <c r="A45" s="4" t="n">
        <v>30840</v>
      </c>
      <c r="B45" s="4" t="inlineStr">
        <is>
          <t>A3892002E067 EPC Part List discrepancy</t>
        </is>
      </c>
      <c r="C45" s="4" t="inlineStr">
        <is>
          <t>Closed</t>
        </is>
      </c>
      <c r="D45" s="4" t="inlineStr">
        <is>
          <t>Q4-2025</t>
        </is>
      </c>
      <c r="E45" s="4" t="n"/>
      <c r="F45" s="4" t="inlineStr">
        <is>
          <t>yes</t>
        </is>
      </c>
      <c r="G45" s="4" t="n"/>
      <c r="H45" s="4" t="n">
        <v>41</v>
      </c>
      <c r="I45" s="5" t="n">
        <v>45940</v>
      </c>
      <c r="J45" s="5" t="n">
        <v>45974</v>
      </c>
      <c r="K45" s="4" t="n"/>
    </row>
    <row r="46">
      <c r="A46" s="4" t="n">
        <v>32777</v>
      </c>
      <c r="B46" s="4" t="inlineStr">
        <is>
          <t>Vin's not showing up in EPC</t>
        </is>
      </c>
      <c r="C46" s="4" t="inlineStr">
        <is>
          <t>Closed</t>
        </is>
      </c>
      <c r="D46" s="4" t="inlineStr">
        <is>
          <t>Q4-2025</t>
        </is>
      </c>
      <c r="E46" s="4" t="n"/>
      <c r="F46" s="4" t="inlineStr">
        <is>
          <t>yes</t>
        </is>
      </c>
      <c r="G46" s="4" t="n"/>
      <c r="H46" s="4" t="n">
        <v>29</v>
      </c>
      <c r="I46" s="5" t="n">
        <v>45989</v>
      </c>
      <c r="J46" s="5" t="n">
        <v>46020</v>
      </c>
      <c r="K46" s="4" t="n"/>
    </row>
  </sheetData>
  <hyperlinks>
    <hyperlink ref="A1" location="Krishna_OKR_Checklist!A1" display="Krishna_OKR_Checklist!A1"/>
    <hyperlink ref="B1" location="Krishna_OKR_Checklist!A1" display="Krishna_OKR_Checklist!A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69"/>
  <sheetViews>
    <sheetView topLeftCell="A37" workbookViewId="0">
      <selection activeCell="D50" sqref="D50"/>
    </sheetView>
  </sheetViews>
  <sheetFormatPr baseColWidth="8" defaultRowHeight="15"/>
  <cols>
    <col width="38" customWidth="1" style="56" min="1" max="1"/>
    <col width="29" customWidth="1" style="56" min="2" max="2"/>
    <col width="38" customWidth="1" style="56" min="3" max="5"/>
    <col width="36" customWidth="1" style="56" min="6" max="6"/>
    <col width="28" customWidth="1" style="56" min="7" max="7"/>
    <col width="38" customWidth="1" style="56" min="8" max="8"/>
    <col width="15" customWidth="1" style="56" min="9" max="9"/>
    <col width="38" customWidth="1" style="56" min="10" max="10"/>
  </cols>
  <sheetData>
    <row r="1">
      <c r="A1" s="18" t="inlineStr">
        <is>
          <t>Krishna_OKR_Checklist!A1</t>
        </is>
      </c>
    </row>
    <row r="3" ht="17.25" customHeight="1" s="56">
      <c r="A3" s="2" t="inlineStr">
        <is>
          <t>Helpdesk_Discipline — Process Adherence (Process Checklist)</t>
        </is>
      </c>
    </row>
    <row r="4">
      <c r="A4" s="57" t="inlineStr">
        <is>
          <t>KPI Process Adherance is measured on these items (&gt;=90% overall). Ticket export cannot prove every control — DM confirms CAB / Timesheet / PR Approval; Helpdesk proxies used where available (dates, Code Change, closure).</t>
        </is>
      </c>
    </row>
    <row r="6">
      <c r="A6" s="3" t="inlineStr">
        <is>
          <t>1) Process Checklist — items measured for Process Adherance</t>
        </is>
      </c>
    </row>
    <row r="7">
      <c r="A7" s="25" t="inlineStr">
        <is>
          <t>Measure #</t>
        </is>
      </c>
      <c r="B7" s="25" t="inlineStr">
        <is>
          <t>What is measured</t>
        </is>
      </c>
      <c r="C7" s="25" t="inlineStr">
        <is>
          <t>Evidence / How checked</t>
        </is>
      </c>
      <c r="D7" s="25" t="inlineStr">
        <is>
          <t>Source</t>
        </is>
      </c>
      <c r="E7" s="25" t="inlineStr">
        <is>
          <t>Target</t>
        </is>
      </c>
    </row>
    <row r="8" ht="30" customHeight="1" s="56">
      <c r="A8" s="1" t="n">
        <v>1</v>
      </c>
      <c r="B8" s="1" t="inlineStr">
        <is>
          <t>Meaningful status/progress comments while ticket is In Progress</t>
        </is>
      </c>
      <c r="C8" s="1" t="inlineStr">
        <is>
          <t>Ticket comments cadence (Helpdesk UI / export)</t>
        </is>
      </c>
      <c r="D8" s="1" t="inlineStr">
        <is>
          <t>Helpdesk</t>
        </is>
      </c>
      <c r="E8" s="1" t="inlineStr">
        <is>
          <t>No silent stalls &gt;2 working days</t>
        </is>
      </c>
    </row>
    <row r="9" ht="30" customHeight="1" s="56">
      <c r="A9" s="1" t="n">
        <v>2</v>
      </c>
      <c r="B9" s="1" t="inlineStr">
        <is>
          <t>Business / stakeholder updated on progress, blockers, UAT readiness</t>
        </is>
      </c>
      <c r="C9" s="1" t="inlineStr">
        <is>
          <t>Comments / email / status to business</t>
        </is>
      </c>
      <c r="D9" s="1" t="inlineStr">
        <is>
          <t>Helpdesk + email</t>
        </is>
      </c>
      <c r="E9" s="1" t="inlineStr">
        <is>
          <t>Updates on material status changes</t>
        </is>
      </c>
    </row>
    <row r="10" ht="30" customHeight="1" s="56">
      <c r="A10" s="1" t="n">
        <v>3</v>
      </c>
      <c r="B10" s="1" t="inlineStr">
        <is>
          <t>Resolution / fix notes captured before Closed/Resolved</t>
        </is>
      </c>
      <c r="C10" s="1" t="inlineStr">
        <is>
          <t>Closure Date present + resolution note on ticket</t>
        </is>
      </c>
      <c r="D10" s="1" t="inlineStr">
        <is>
          <t>Helpdesk</t>
        </is>
      </c>
      <c r="E10" s="1" t="inlineStr">
        <is>
          <t>100% of closed tickets</t>
        </is>
      </c>
    </row>
    <row r="11" ht="30" customHeight="1" s="56">
      <c r="A11" s="1" t="n">
        <v>4</v>
      </c>
      <c r="B11" s="1" t="inlineStr">
        <is>
          <t>CAB raised/approved when change requires CAB (prod deploy)</t>
        </is>
      </c>
      <c r="C11" s="1" t="inlineStr">
        <is>
          <t>CAB record / change calendar — DM confirm</t>
        </is>
      </c>
      <c r="D11" s="1" t="inlineStr">
        <is>
          <t>CAB / Change Mgmt</t>
        </is>
      </c>
      <c r="E11" s="1" t="inlineStr">
        <is>
          <t>0 CAB misses</t>
        </is>
      </c>
    </row>
    <row r="12" ht="30" customHeight="1" s="56">
      <c r="A12" s="1" t="n">
        <v>5</v>
      </c>
      <c r="B12" s="1" t="inlineStr">
        <is>
          <t>PR reviewed &amp; approved before merge (Azure DevOps)</t>
        </is>
      </c>
      <c r="C12" s="1" t="inlineStr">
        <is>
          <t>Code Change=yes tickets; paste Azure PR URL on CodeChange_Tickets</t>
        </is>
      </c>
      <c r="D12" s="1" t="inlineStr">
        <is>
          <t>Azure DevOps (manual)</t>
        </is>
      </c>
      <c r="E12" s="1" t="inlineStr">
        <is>
          <t>100% Code Change tickets</t>
        </is>
      </c>
    </row>
    <row r="13" ht="30" customHeight="1" s="56">
      <c r="A13" s="1" t="n">
        <v>6</v>
      </c>
      <c r="B13" s="1" t="inlineStr">
        <is>
          <t>Weekly timesheet submitted on time</t>
        </is>
      </c>
      <c r="C13" s="1" t="inlineStr">
        <is>
          <t>Timesheet system / HR — DM confirm</t>
        </is>
      </c>
      <c r="D13" s="1" t="inlineStr">
        <is>
          <t>Timesheet</t>
        </is>
      </c>
      <c r="E13" s="1" t="inlineStr">
        <is>
          <t>0 missed weeks</t>
        </is>
      </c>
    </row>
    <row r="15">
      <c r="A15" s="3" t="inlineStr">
        <is>
          <t>2) Quarterly Process Adherence scorecard (DM can override any cell)</t>
        </is>
      </c>
    </row>
    <row r="16">
      <c r="A16" s="25" t="inlineStr">
        <is>
          <t>Process Item</t>
        </is>
      </c>
      <c r="B16" s="25" t="inlineStr">
        <is>
          <t>Q3-2025</t>
        </is>
      </c>
      <c r="C16" s="25" t="inlineStr">
        <is>
          <t>Q4-2025</t>
        </is>
      </c>
      <c r="D16" s="25" t="inlineStr">
        <is>
          <t>Q1-2026</t>
        </is>
      </c>
      <c r="E16" s="25" t="inlineStr">
        <is>
          <t>Q2-2026</t>
        </is>
      </c>
      <c r="F16" s="25" t="inlineStr">
        <is>
          <t>Overall Achieved?</t>
        </is>
      </c>
      <c r="G16" s="25" t="inlineStr">
        <is>
          <t>Comments</t>
        </is>
      </c>
    </row>
    <row r="17" ht="30" customHeight="1" s="56">
      <c r="A17" s="1" t="inlineStr">
        <is>
          <t>Timely comments on tickets</t>
        </is>
      </c>
      <c r="B17" s="1" t="inlineStr">
        <is>
          <t>N/A</t>
        </is>
      </c>
      <c r="C17" s="22" t="inlineStr">
        <is>
          <t>Yes</t>
        </is>
      </c>
      <c r="D17" s="22" t="inlineStr">
        <is>
          <t>Yes</t>
        </is>
      </c>
      <c r="E17" s="22" t="inlineStr">
        <is>
          <t>Yes</t>
        </is>
      </c>
      <c r="F17" s="22" t="inlineStr">
        <is>
          <t>Yes</t>
        </is>
      </c>
      <c r="G17" s="1" t="inlineStr">
        <is>
          <t>Helpdesk comments — DM spot-check</t>
        </is>
      </c>
      <c r="H17" s="1" t="n"/>
    </row>
    <row r="18" ht="30" customHeight="1" s="56">
      <c r="A18" s="1" t="inlineStr">
        <is>
          <t>Update business</t>
        </is>
      </c>
      <c r="B18" s="1" t="inlineStr">
        <is>
          <t>N/A</t>
        </is>
      </c>
      <c r="C18" s="22" t="inlineStr">
        <is>
          <t>Yes</t>
        </is>
      </c>
      <c r="D18" s="22" t="inlineStr">
        <is>
          <t>Yes</t>
        </is>
      </c>
      <c r="E18" s="22" t="inlineStr">
        <is>
          <t>Yes</t>
        </is>
      </c>
      <c r="F18" s="22" t="inlineStr">
        <is>
          <t>Yes</t>
        </is>
      </c>
      <c r="G18" s="1" t="inlineStr">
        <is>
          <t>Business updates on status changes — DM confirm</t>
        </is>
      </c>
      <c r="H18" s="1" t="n"/>
    </row>
    <row r="19" ht="30" customHeight="1" s="56">
      <c r="A19" s="1" t="inlineStr">
        <is>
          <t>Resolution added on closure</t>
        </is>
      </c>
      <c r="B19" s="1" t="inlineStr">
        <is>
          <t>N/A</t>
        </is>
      </c>
      <c r="C19" s="22" t="inlineStr">
        <is>
          <t>Yes</t>
        </is>
      </c>
      <c r="D19" s="22" t="inlineStr">
        <is>
          <t>Yes</t>
        </is>
      </c>
      <c r="E19" s="22" t="inlineStr">
        <is>
          <t>Yes</t>
        </is>
      </c>
      <c r="F19" s="22" t="inlineStr">
        <is>
          <t>Yes</t>
        </is>
      </c>
      <c r="G19" s="1" t="inlineStr">
        <is>
          <t>Closure Date + resolution note proxy</t>
        </is>
      </c>
      <c r="H19" s="1" t="n"/>
    </row>
    <row r="20" ht="30" customHeight="1" s="56">
      <c r="A20" s="1" t="inlineStr">
        <is>
          <t>No CAB miss</t>
        </is>
      </c>
      <c r="B20" s="1" t="inlineStr">
        <is>
          <t>N/A</t>
        </is>
      </c>
      <c r="C20" s="22" t="inlineStr">
        <is>
          <t>Yes</t>
        </is>
      </c>
      <c r="D20" s="22" t="inlineStr">
        <is>
          <t>Yes</t>
        </is>
      </c>
      <c r="E20" s="22" t="inlineStr">
        <is>
          <t>Yes</t>
        </is>
      </c>
      <c r="F20" s="22" t="inlineStr">
        <is>
          <t>Yes</t>
        </is>
      </c>
      <c r="G20" s="1" t="inlineStr">
        <is>
          <t>0 CAB misses reported — DM confirm</t>
        </is>
      </c>
      <c r="H20" s="1" t="n"/>
    </row>
    <row r="21" ht="30" customHeight="1" s="56">
      <c r="A21" s="1" t="inlineStr">
        <is>
          <t>PR Approval taken</t>
        </is>
      </c>
      <c r="B21" s="1" t="inlineStr">
        <is>
          <t>N/A</t>
        </is>
      </c>
      <c r="C21" s="22" t="inlineStr">
        <is>
          <t>Yes</t>
        </is>
      </c>
      <c r="D21" s="22" t="inlineStr">
        <is>
          <t>Yes</t>
        </is>
      </c>
      <c r="E21" s="22" t="inlineStr">
        <is>
          <t>Yes</t>
        </is>
      </c>
      <c r="F21" s="22" t="inlineStr">
        <is>
          <t>Yes</t>
        </is>
      </c>
      <c r="G21" s="1" t="inlineStr">
        <is>
          <t>Code Change tickets; Azure PR URL column for proof</t>
        </is>
      </c>
      <c r="H21" s="1" t="n"/>
    </row>
    <row r="22" ht="30" customHeight="1" s="56">
      <c r="A22" s="1" t="inlineStr">
        <is>
          <t>Weekly Timesheet Submit</t>
        </is>
      </c>
      <c r="B22" s="1" t="inlineStr">
        <is>
          <t>N/A</t>
        </is>
      </c>
      <c r="C22" s="22" t="inlineStr">
        <is>
          <t>Yes</t>
        </is>
      </c>
      <c r="D22" s="22" t="inlineStr">
        <is>
          <t>Yes</t>
        </is>
      </c>
      <c r="E22" s="22" t="inlineStr">
        <is>
          <t>Yes</t>
        </is>
      </c>
      <c r="F22" s="22" t="inlineStr">
        <is>
          <t>Yes</t>
        </is>
      </c>
      <c r="G22" s="1" t="inlineStr">
        <is>
          <t>Weekly timesheet — DM/HR confirm</t>
        </is>
      </c>
      <c r="H22" s="1" t="n"/>
    </row>
    <row r="24">
      <c r="A24" t="inlineStr">
        <is>
          <t>Process Adherence overall (&gt;=90% of checklist items)</t>
        </is>
      </c>
      <c r="B24" t="inlineStr">
        <is>
          <t>Achieved/Not Achieved</t>
        </is>
      </c>
      <c r="C24" s="19" t="inlineStr">
        <is>
          <t>Yes</t>
        </is>
      </c>
      <c r="D24" s="57" t="inlineStr">
        <is>
          <t>All 6 measured items Achieved for appraisal narrative — DM may flip any item after audit</t>
        </is>
      </c>
    </row>
    <row r="26">
      <c r="A26" s="3" t="inlineStr">
        <is>
          <t>3) Ticket-level Helpdesk hygiene (export proxies)</t>
        </is>
      </c>
    </row>
    <row r="27">
      <c r="A27" s="25" t="inlineStr">
        <is>
          <t>Ticket No.</t>
        </is>
      </c>
      <c r="B27" s="25" t="inlineStr">
        <is>
          <t>Quarter</t>
        </is>
      </c>
      <c r="C27" s="25" t="inlineStr">
        <is>
          <t>Assign Date?</t>
        </is>
      </c>
      <c r="D27" s="25" t="inlineStr">
        <is>
          <t>Closure Date (if closed)?</t>
        </is>
      </c>
      <c r="E27" s="25" t="inlineStr">
        <is>
          <t>Resolution on closure?</t>
        </is>
      </c>
      <c r="F27" s="25" t="inlineStr">
        <is>
          <t>Code Change (PR required)?</t>
        </is>
      </c>
      <c r="G27" s="25" t="inlineStr">
        <is>
          <t>Owner OK?</t>
        </is>
      </c>
      <c r="H27" s="25" t="inlineStr">
        <is>
          <t>Hygiene Pass?</t>
        </is>
      </c>
      <c r="I27" s="25" t="inlineStr">
        <is>
          <t>Comments</t>
        </is>
      </c>
    </row>
    <row r="28">
      <c r="A28" t="n">
        <v>29717</v>
      </c>
      <c r="B28" t="inlineStr">
        <is>
          <t>Q1-2026</t>
        </is>
      </c>
      <c r="C28" s="19" t="inlineStr">
        <is>
          <t>Yes</t>
        </is>
      </c>
      <c r="D28" s="19" t="inlineStr">
        <is>
          <t>Yes</t>
        </is>
      </c>
      <c r="E28" s="19" t="inlineStr">
        <is>
          <t>Yes</t>
        </is>
      </c>
      <c r="F28" s="19" t="inlineStr">
        <is>
          <t>Yes</t>
        </is>
      </c>
      <c r="G28" s="19" t="inlineStr">
        <is>
          <t>Yes</t>
        </is>
      </c>
      <c r="H28" s="19" t="inlineStr">
        <is>
          <t>Yes</t>
        </is>
      </c>
      <c r="I28" t="inlineStr">
        <is>
          <t>PR Approval: see CodeChange_Tickets Azure_PR_URL if Code Change=Yes</t>
        </is>
      </c>
    </row>
    <row r="29">
      <c r="A29" t="n">
        <v>33439</v>
      </c>
      <c r="B29" t="inlineStr">
        <is>
          <t>Q1-2026</t>
        </is>
      </c>
      <c r="C29" s="19" t="inlineStr">
        <is>
          <t>Yes</t>
        </is>
      </c>
      <c r="D29" s="19" t="inlineStr">
        <is>
          <t>Yes</t>
        </is>
      </c>
      <c r="E29" s="19" t="inlineStr">
        <is>
          <t>Yes</t>
        </is>
      </c>
      <c r="F29" s="19" t="inlineStr">
        <is>
          <t>Yes</t>
        </is>
      </c>
      <c r="G29" s="19" t="inlineStr">
        <is>
          <t>Yes</t>
        </is>
      </c>
      <c r="H29" s="19" t="inlineStr">
        <is>
          <t>Yes</t>
        </is>
      </c>
      <c r="I29" t="inlineStr">
        <is>
          <t>PR Approval: see CodeChange_Tickets Azure_PR_URL if Code Change=Yes</t>
        </is>
      </c>
    </row>
    <row r="30">
      <c r="A30" t="n">
        <v>33376</v>
      </c>
      <c r="B30" t="inlineStr">
        <is>
          <t>Q1-2026</t>
        </is>
      </c>
      <c r="C30" s="19" t="inlineStr">
        <is>
          <t>Yes</t>
        </is>
      </c>
      <c r="D30" s="19" t="inlineStr">
        <is>
          <t>Yes</t>
        </is>
      </c>
      <c r="E30" s="19" t="inlineStr">
        <is>
          <t>Yes</t>
        </is>
      </c>
      <c r="F30" s="19" t="inlineStr">
        <is>
          <t>Yes</t>
        </is>
      </c>
      <c r="G30" s="19" t="inlineStr">
        <is>
          <t>Yes</t>
        </is>
      </c>
      <c r="H30" s="19" t="inlineStr">
        <is>
          <t>Yes</t>
        </is>
      </c>
      <c r="I30" t="inlineStr">
        <is>
          <t>PR Approval: see CodeChange_Tickets Azure_PR_URL if Code Change=Yes</t>
        </is>
      </c>
    </row>
    <row r="31">
      <c r="A31" t="n">
        <v>32754</v>
      </c>
      <c r="B31" t="inlineStr">
        <is>
          <t>Q1-2026</t>
        </is>
      </c>
      <c r="C31" s="19" t="inlineStr">
        <is>
          <t>Yes</t>
        </is>
      </c>
      <c r="D31" s="19" t="inlineStr">
        <is>
          <t>Yes</t>
        </is>
      </c>
      <c r="E31" s="19" t="inlineStr">
        <is>
          <t>Yes</t>
        </is>
      </c>
      <c r="F31" s="20" t="inlineStr">
        <is>
          <t>No</t>
        </is>
      </c>
      <c r="G31" s="19" t="inlineStr">
        <is>
          <t>Yes</t>
        </is>
      </c>
      <c r="H31" s="19" t="inlineStr">
        <is>
          <t>Yes</t>
        </is>
      </c>
      <c r="I31" t="inlineStr">
        <is>
          <t>PR Approval: see CodeChange_Tickets Azure_PR_URL if Code Change=Yes</t>
        </is>
      </c>
    </row>
    <row r="32">
      <c r="A32" t="n">
        <v>16796</v>
      </c>
      <c r="B32" t="inlineStr">
        <is>
          <t>Q1-2026</t>
        </is>
      </c>
      <c r="C32" s="19" t="inlineStr">
        <is>
          <t>Yes</t>
        </is>
      </c>
      <c r="D32" s="19" t="inlineStr">
        <is>
          <t>Yes</t>
        </is>
      </c>
      <c r="E32" s="19" t="inlineStr">
        <is>
          <t>Yes</t>
        </is>
      </c>
      <c r="F32" s="19" t="inlineStr">
        <is>
          <t>Yes</t>
        </is>
      </c>
      <c r="G32" s="19" t="inlineStr">
        <is>
          <t>Yes</t>
        </is>
      </c>
      <c r="H32" s="19" t="inlineStr">
        <is>
          <t>Yes</t>
        </is>
      </c>
      <c r="I32" t="inlineStr">
        <is>
          <t>PR Approval: see CodeChange_Tickets Azure_PR_URL if Code Change=Yes</t>
        </is>
      </c>
    </row>
    <row r="33">
      <c r="A33" t="n">
        <v>15635</v>
      </c>
      <c r="B33" t="inlineStr">
        <is>
          <t>Q1-2026</t>
        </is>
      </c>
      <c r="C33" s="19" t="inlineStr">
        <is>
          <t>Yes</t>
        </is>
      </c>
      <c r="D33" s="19" t="inlineStr">
        <is>
          <t>Yes</t>
        </is>
      </c>
      <c r="E33" s="19" t="inlineStr">
        <is>
          <t>Yes</t>
        </is>
      </c>
      <c r="F33" s="20" t="inlineStr">
        <is>
          <t>No</t>
        </is>
      </c>
      <c r="G33" s="19" t="inlineStr">
        <is>
          <t>Yes</t>
        </is>
      </c>
      <c r="H33" s="19" t="inlineStr">
        <is>
          <t>Yes</t>
        </is>
      </c>
      <c r="I33" t="inlineStr">
        <is>
          <t>PR Approval: see CodeChange_Tickets Azure_PR_URL if Code Change=Yes</t>
        </is>
      </c>
    </row>
    <row r="34">
      <c r="A34" t="n">
        <v>32836</v>
      </c>
      <c r="B34" t="inlineStr">
        <is>
          <t>Q1-2026</t>
        </is>
      </c>
      <c r="C34" s="19" t="inlineStr">
        <is>
          <t>Yes</t>
        </is>
      </c>
      <c r="D34" s="19" t="inlineStr">
        <is>
          <t>Yes</t>
        </is>
      </c>
      <c r="E34" s="19" t="inlineStr">
        <is>
          <t>Yes</t>
        </is>
      </c>
      <c r="F34" s="20" t="inlineStr">
        <is>
          <t>No</t>
        </is>
      </c>
      <c r="G34" s="19" t="inlineStr">
        <is>
          <t>Yes</t>
        </is>
      </c>
      <c r="H34" s="19" t="inlineStr">
        <is>
          <t>Yes</t>
        </is>
      </c>
      <c r="I34" t="inlineStr">
        <is>
          <t>PR Approval: see CodeChange_Tickets Azure_PR_URL if Code Change=Yes</t>
        </is>
      </c>
    </row>
    <row r="35">
      <c r="A35" t="n">
        <v>27665</v>
      </c>
      <c r="B35" t="inlineStr">
        <is>
          <t>Q1-2026</t>
        </is>
      </c>
      <c r="C35" s="19" t="inlineStr">
        <is>
          <t>Yes</t>
        </is>
      </c>
      <c r="D35" t="inlineStr">
        <is>
          <t>N/A</t>
        </is>
      </c>
      <c r="E35" t="inlineStr">
        <is>
          <t>N/A</t>
        </is>
      </c>
      <c r="F35" s="20" t="inlineStr">
        <is>
          <t>No</t>
        </is>
      </c>
      <c r="G35" s="19" t="inlineStr">
        <is>
          <t>Yes</t>
        </is>
      </c>
      <c r="H35" s="19" t="inlineStr">
        <is>
          <t>Yes</t>
        </is>
      </c>
      <c r="I35" t="inlineStr">
        <is>
          <t>PR Approval: see CodeChange_Tickets Azure_PR_URL if Code Change=Yes</t>
        </is>
      </c>
    </row>
    <row r="36">
      <c r="A36" t="n">
        <v>32233</v>
      </c>
      <c r="B36" t="inlineStr">
        <is>
          <t>Q1-2026</t>
        </is>
      </c>
      <c r="C36" s="19" t="inlineStr">
        <is>
          <t>Yes</t>
        </is>
      </c>
      <c r="D36" t="inlineStr">
        <is>
          <t>N/A</t>
        </is>
      </c>
      <c r="E36" t="inlineStr">
        <is>
          <t>N/A</t>
        </is>
      </c>
      <c r="F36" s="19" t="inlineStr">
        <is>
          <t>Yes</t>
        </is>
      </c>
      <c r="G36" s="19" t="inlineStr">
        <is>
          <t>Yes</t>
        </is>
      </c>
      <c r="H36" s="19" t="inlineStr">
        <is>
          <t>Yes</t>
        </is>
      </c>
      <c r="I36" t="inlineStr">
        <is>
          <t>PR Approval: see CodeChange_Tickets Azure_PR_URL if Code Change=Yes</t>
        </is>
      </c>
    </row>
    <row r="37">
      <c r="A37" t="n">
        <v>35062</v>
      </c>
      <c r="B37" t="inlineStr">
        <is>
          <t>Q1-2026</t>
        </is>
      </c>
      <c r="C37" s="19" t="inlineStr">
        <is>
          <t>Yes</t>
        </is>
      </c>
      <c r="D37" s="19" t="inlineStr">
        <is>
          <t>Yes</t>
        </is>
      </c>
      <c r="E37" s="19" t="inlineStr">
        <is>
          <t>Yes</t>
        </is>
      </c>
      <c r="F37" s="19" t="inlineStr">
        <is>
          <t>Yes</t>
        </is>
      </c>
      <c r="G37" s="19" t="inlineStr">
        <is>
          <t>Yes</t>
        </is>
      </c>
      <c r="H37" s="19" t="inlineStr">
        <is>
          <t>Yes</t>
        </is>
      </c>
      <c r="I37" t="inlineStr">
        <is>
          <t>PR Approval: see CodeChange_Tickets Azure_PR_URL if Code Change=Yes</t>
        </is>
      </c>
    </row>
    <row r="38">
      <c r="A38" t="n">
        <v>35609</v>
      </c>
      <c r="B38" t="inlineStr">
        <is>
          <t>Q2-2026</t>
        </is>
      </c>
      <c r="C38" s="19" t="inlineStr">
        <is>
          <t>Yes</t>
        </is>
      </c>
      <c r="D38" s="19" t="inlineStr">
        <is>
          <t>Yes</t>
        </is>
      </c>
      <c r="E38" s="19" t="inlineStr">
        <is>
          <t>Yes</t>
        </is>
      </c>
      <c r="F38" s="19" t="inlineStr">
        <is>
          <t>Yes</t>
        </is>
      </c>
      <c r="G38" s="19" t="inlineStr">
        <is>
          <t>Yes</t>
        </is>
      </c>
      <c r="H38" s="19" t="inlineStr">
        <is>
          <t>Yes</t>
        </is>
      </c>
      <c r="I38" t="inlineStr">
        <is>
          <t>PR Approval: see CodeChange_Tickets Azure_PR_URL if Code Change=Yes</t>
        </is>
      </c>
    </row>
    <row r="39">
      <c r="A39" t="n">
        <v>33585</v>
      </c>
      <c r="B39" t="inlineStr">
        <is>
          <t>Q2-2026</t>
        </is>
      </c>
      <c r="C39" s="19" t="inlineStr">
        <is>
          <t>Yes</t>
        </is>
      </c>
      <c r="D39" s="19" t="inlineStr">
        <is>
          <t>Yes</t>
        </is>
      </c>
      <c r="E39" s="19" t="inlineStr">
        <is>
          <t>Yes</t>
        </is>
      </c>
      <c r="F39" s="19" t="inlineStr">
        <is>
          <t>Yes</t>
        </is>
      </c>
      <c r="G39" s="19" t="inlineStr">
        <is>
          <t>Yes</t>
        </is>
      </c>
      <c r="H39" s="19" t="inlineStr">
        <is>
          <t>Yes</t>
        </is>
      </c>
      <c r="I39" t="inlineStr">
        <is>
          <t>PR Approval: see CodeChange_Tickets Azure_PR_URL if Code Change=Yes</t>
        </is>
      </c>
    </row>
    <row r="40">
      <c r="A40" t="n">
        <v>35860</v>
      </c>
      <c r="B40" t="inlineStr">
        <is>
          <t>Q2-2026</t>
        </is>
      </c>
      <c r="C40" s="19" t="inlineStr">
        <is>
          <t>Yes</t>
        </is>
      </c>
      <c r="D40" s="19" t="inlineStr">
        <is>
          <t>Yes</t>
        </is>
      </c>
      <c r="E40" s="19" t="inlineStr">
        <is>
          <t>Yes</t>
        </is>
      </c>
      <c r="F40" s="20" t="inlineStr">
        <is>
          <t>No</t>
        </is>
      </c>
      <c r="G40" s="19" t="inlineStr">
        <is>
          <t>Yes</t>
        </is>
      </c>
      <c r="H40" s="19" t="inlineStr">
        <is>
          <t>Yes</t>
        </is>
      </c>
      <c r="I40" t="inlineStr">
        <is>
          <t>PR Approval: see CodeChange_Tickets Azure_PR_URL if Code Change=Yes</t>
        </is>
      </c>
    </row>
    <row r="41">
      <c r="A41" t="n">
        <v>35023</v>
      </c>
      <c r="B41" t="inlineStr">
        <is>
          <t>Q2-2026</t>
        </is>
      </c>
      <c r="C41" s="19" t="inlineStr">
        <is>
          <t>Yes</t>
        </is>
      </c>
      <c r="D41" s="19" t="inlineStr">
        <is>
          <t>Yes</t>
        </is>
      </c>
      <c r="E41" s="19" t="inlineStr">
        <is>
          <t>Yes</t>
        </is>
      </c>
      <c r="F41" s="20" t="inlineStr">
        <is>
          <t>No</t>
        </is>
      </c>
      <c r="G41" s="19" t="inlineStr">
        <is>
          <t>Yes</t>
        </is>
      </c>
      <c r="H41" s="19" t="inlineStr">
        <is>
          <t>Yes</t>
        </is>
      </c>
      <c r="I41" t="inlineStr">
        <is>
          <t>PR Approval: see CodeChange_Tickets Azure_PR_URL if Code Change=Yes</t>
        </is>
      </c>
    </row>
    <row r="42">
      <c r="A42" t="n">
        <v>39212</v>
      </c>
      <c r="B42" t="inlineStr">
        <is>
          <t>Q2-2026</t>
        </is>
      </c>
      <c r="C42" s="19" t="inlineStr">
        <is>
          <t>Yes</t>
        </is>
      </c>
      <c r="D42" s="19" t="inlineStr">
        <is>
          <t>Yes</t>
        </is>
      </c>
      <c r="E42" s="19" t="inlineStr">
        <is>
          <t>Yes</t>
        </is>
      </c>
      <c r="F42" s="19" t="inlineStr">
        <is>
          <t>Yes</t>
        </is>
      </c>
      <c r="G42" s="19" t="inlineStr">
        <is>
          <t>Yes</t>
        </is>
      </c>
      <c r="H42" s="19" t="inlineStr">
        <is>
          <t>Yes</t>
        </is>
      </c>
      <c r="I42" t="inlineStr">
        <is>
          <t>PR Approval: see CodeChange_Tickets Azure_PR_URL if Code Change=Yes</t>
        </is>
      </c>
    </row>
    <row r="43">
      <c r="A43" t="n">
        <v>35692</v>
      </c>
      <c r="B43" t="inlineStr">
        <is>
          <t>Q2-2026</t>
        </is>
      </c>
      <c r="C43" s="19" t="inlineStr">
        <is>
          <t>Yes</t>
        </is>
      </c>
      <c r="D43" s="19" t="inlineStr">
        <is>
          <t>Yes</t>
        </is>
      </c>
      <c r="E43" s="19" t="inlineStr">
        <is>
          <t>Yes</t>
        </is>
      </c>
      <c r="F43" s="19" t="inlineStr">
        <is>
          <t>Yes</t>
        </is>
      </c>
      <c r="G43" s="19" t="inlineStr">
        <is>
          <t>Yes</t>
        </is>
      </c>
      <c r="H43" s="19" t="inlineStr">
        <is>
          <t>Yes</t>
        </is>
      </c>
      <c r="I43" t="inlineStr">
        <is>
          <t>PR Approval: see CodeChange_Tickets Azure_PR_URL if Code Change=Yes</t>
        </is>
      </c>
    </row>
    <row r="44">
      <c r="A44" t="n">
        <v>38045</v>
      </c>
      <c r="B44" t="inlineStr">
        <is>
          <t>Q2-2026</t>
        </is>
      </c>
      <c r="C44" s="19" t="inlineStr">
        <is>
          <t>Yes</t>
        </is>
      </c>
      <c r="D44" s="19" t="inlineStr">
        <is>
          <t>Yes</t>
        </is>
      </c>
      <c r="E44" s="19" t="inlineStr">
        <is>
          <t>Yes</t>
        </is>
      </c>
      <c r="F44" s="19" t="inlineStr">
        <is>
          <t>Yes</t>
        </is>
      </c>
      <c r="G44" s="19" t="inlineStr">
        <is>
          <t>Yes</t>
        </is>
      </c>
      <c r="H44" s="19" t="inlineStr">
        <is>
          <t>Yes</t>
        </is>
      </c>
      <c r="I44" t="inlineStr">
        <is>
          <t>PR Approval: see CodeChange_Tickets Azure_PR_URL if Code Change=Yes</t>
        </is>
      </c>
    </row>
    <row r="45">
      <c r="A45" t="n">
        <v>41725</v>
      </c>
      <c r="B45" t="inlineStr">
        <is>
          <t>Q2-2026</t>
        </is>
      </c>
      <c r="C45" s="19" t="inlineStr">
        <is>
          <t>Yes</t>
        </is>
      </c>
      <c r="D45" s="19" t="inlineStr">
        <is>
          <t>Yes</t>
        </is>
      </c>
      <c r="E45" s="19" t="inlineStr">
        <is>
          <t>Yes</t>
        </is>
      </c>
      <c r="F45" s="20" t="inlineStr">
        <is>
          <t>No</t>
        </is>
      </c>
      <c r="G45" s="19" t="inlineStr">
        <is>
          <t>Yes</t>
        </is>
      </c>
      <c r="H45" s="19" t="inlineStr">
        <is>
          <t>Yes</t>
        </is>
      </c>
      <c r="I45" t="inlineStr">
        <is>
          <t>PR Approval: see CodeChange_Tickets Azure_PR_URL if Code Change=Yes</t>
        </is>
      </c>
    </row>
    <row r="46">
      <c r="A46" t="n">
        <v>32776</v>
      </c>
      <c r="B46" t="inlineStr">
        <is>
          <t>Q2-2026</t>
        </is>
      </c>
      <c r="C46" s="19" t="inlineStr">
        <is>
          <t>Yes</t>
        </is>
      </c>
      <c r="D46" s="19" t="inlineStr">
        <is>
          <t>Yes</t>
        </is>
      </c>
      <c r="E46" s="19" t="inlineStr">
        <is>
          <t>Yes</t>
        </is>
      </c>
      <c r="F46" s="20" t="inlineStr">
        <is>
          <t>No</t>
        </is>
      </c>
      <c r="G46" s="19" t="inlineStr">
        <is>
          <t>Yes</t>
        </is>
      </c>
      <c r="H46" s="19" t="inlineStr">
        <is>
          <t>Yes</t>
        </is>
      </c>
      <c r="I46" t="inlineStr">
        <is>
          <t>PR Approval: see CodeChange_Tickets Azure_PR_URL if Code Change=Yes</t>
        </is>
      </c>
    </row>
    <row r="47">
      <c r="A47" t="n">
        <v>41075</v>
      </c>
      <c r="B47" t="inlineStr">
        <is>
          <t>Q2-2026</t>
        </is>
      </c>
      <c r="C47" s="19" t="inlineStr">
        <is>
          <t>Yes</t>
        </is>
      </c>
      <c r="D47" s="19" t="inlineStr">
        <is>
          <t>Yes</t>
        </is>
      </c>
      <c r="E47" s="19" t="inlineStr">
        <is>
          <t>Yes</t>
        </is>
      </c>
      <c r="F47" s="20" t="inlineStr">
        <is>
          <t>No</t>
        </is>
      </c>
      <c r="G47" s="19" t="inlineStr">
        <is>
          <t>Yes</t>
        </is>
      </c>
      <c r="H47" s="19" t="inlineStr">
        <is>
          <t>Yes</t>
        </is>
      </c>
      <c r="I47" t="inlineStr">
        <is>
          <t>PR Approval: see CodeChange_Tickets Azure_PR_URL if Code Change=Yes</t>
        </is>
      </c>
    </row>
    <row r="48">
      <c r="A48" t="n">
        <v>41559</v>
      </c>
      <c r="B48" t="inlineStr">
        <is>
          <t>Q2-2026</t>
        </is>
      </c>
      <c r="C48" s="19" t="inlineStr">
        <is>
          <t>Yes</t>
        </is>
      </c>
      <c r="D48" s="19" t="inlineStr">
        <is>
          <t>Yes</t>
        </is>
      </c>
      <c r="E48" s="19" t="inlineStr">
        <is>
          <t>Yes</t>
        </is>
      </c>
      <c r="F48" s="19" t="inlineStr">
        <is>
          <t>Yes</t>
        </is>
      </c>
      <c r="G48" s="19" t="inlineStr">
        <is>
          <t>Yes</t>
        </is>
      </c>
      <c r="H48" s="19" t="inlineStr">
        <is>
          <t>Yes</t>
        </is>
      </c>
      <c r="I48" t="inlineStr">
        <is>
          <t>PR Approval: see CodeChange_Tickets Azure_PR_URL if Code Change=Yes</t>
        </is>
      </c>
    </row>
    <row r="49">
      <c r="A49" t="n">
        <v>36707</v>
      </c>
      <c r="B49" t="inlineStr">
        <is>
          <t>Q2-2026</t>
        </is>
      </c>
      <c r="C49" s="19" t="inlineStr">
        <is>
          <t>Yes</t>
        </is>
      </c>
      <c r="D49" s="19" t="inlineStr">
        <is>
          <t>Yes</t>
        </is>
      </c>
      <c r="E49" s="19" t="inlineStr">
        <is>
          <t>Yes</t>
        </is>
      </c>
      <c r="F49" s="19" t="inlineStr">
        <is>
          <t>Yes</t>
        </is>
      </c>
      <c r="G49" s="19" t="inlineStr">
        <is>
          <t>Yes</t>
        </is>
      </c>
      <c r="H49" s="19" t="inlineStr">
        <is>
          <t>Yes</t>
        </is>
      </c>
      <c r="I49" t="inlineStr">
        <is>
          <t>PR Approval: see CodeChange_Tickets Azure_PR_URL if Code Change=Yes</t>
        </is>
      </c>
    </row>
    <row r="50">
      <c r="A50" t="n">
        <v>37321</v>
      </c>
      <c r="B50" t="inlineStr">
        <is>
          <t>Q2-2026</t>
        </is>
      </c>
      <c r="C50" s="19" t="inlineStr">
        <is>
          <t>Yes</t>
        </is>
      </c>
      <c r="D50" s="19" t="inlineStr">
        <is>
          <t>Yes</t>
        </is>
      </c>
      <c r="E50" s="19" t="inlineStr">
        <is>
          <t>Yes</t>
        </is>
      </c>
      <c r="F50" s="19" t="inlineStr">
        <is>
          <t>Yes</t>
        </is>
      </c>
      <c r="G50" s="19" t="inlineStr">
        <is>
          <t>Yes</t>
        </is>
      </c>
      <c r="H50" s="19" t="inlineStr">
        <is>
          <t>Yes</t>
        </is>
      </c>
      <c r="I50" t="inlineStr">
        <is>
          <t>PR Approval: see CodeChange_Tickets Azure_PR_URL if Code Change=Yes</t>
        </is>
      </c>
    </row>
    <row r="51">
      <c r="A51" t="n">
        <v>38355</v>
      </c>
      <c r="B51" t="inlineStr">
        <is>
          <t>Q2-2026</t>
        </is>
      </c>
      <c r="C51" s="19" t="inlineStr">
        <is>
          <t>Yes</t>
        </is>
      </c>
      <c r="D51" s="19" t="inlineStr">
        <is>
          <t>Yes</t>
        </is>
      </c>
      <c r="E51" s="19" t="inlineStr">
        <is>
          <t>Yes</t>
        </is>
      </c>
      <c r="F51" s="19" t="inlineStr">
        <is>
          <t>Yes</t>
        </is>
      </c>
      <c r="G51" s="19" t="inlineStr">
        <is>
          <t>Yes</t>
        </is>
      </c>
      <c r="H51" s="19" t="inlineStr">
        <is>
          <t>Yes</t>
        </is>
      </c>
      <c r="I51" t="inlineStr">
        <is>
          <t>PR Approval: see CodeChange_Tickets Azure_PR_URL if Code Change=Yes</t>
        </is>
      </c>
    </row>
    <row r="52">
      <c r="A52" t="n">
        <v>38288</v>
      </c>
      <c r="B52" t="inlineStr">
        <is>
          <t>Q2-2026</t>
        </is>
      </c>
      <c r="C52" s="19" t="inlineStr">
        <is>
          <t>Yes</t>
        </is>
      </c>
      <c r="D52" s="19" t="inlineStr">
        <is>
          <t>Yes</t>
        </is>
      </c>
      <c r="E52" s="19" t="inlineStr">
        <is>
          <t>Yes</t>
        </is>
      </c>
      <c r="F52" s="20" t="inlineStr">
        <is>
          <t>No</t>
        </is>
      </c>
      <c r="G52" s="19" t="inlineStr">
        <is>
          <t>Yes</t>
        </is>
      </c>
      <c r="H52" s="19" t="inlineStr">
        <is>
          <t>Yes</t>
        </is>
      </c>
      <c r="I52" t="inlineStr">
        <is>
          <t>PR Approval: see CodeChange_Tickets Azure_PR_URL if Code Change=Yes</t>
        </is>
      </c>
    </row>
    <row r="53">
      <c r="A53" t="n">
        <v>38325</v>
      </c>
      <c r="B53" t="inlineStr">
        <is>
          <t>Q2-2026</t>
        </is>
      </c>
      <c r="C53" s="19" t="inlineStr">
        <is>
          <t>Yes</t>
        </is>
      </c>
      <c r="D53" s="19" t="inlineStr">
        <is>
          <t>Yes</t>
        </is>
      </c>
      <c r="E53" s="19" t="inlineStr">
        <is>
          <t>Yes</t>
        </is>
      </c>
      <c r="F53" s="20" t="inlineStr">
        <is>
          <t>No</t>
        </is>
      </c>
      <c r="G53" s="19" t="inlineStr">
        <is>
          <t>Yes</t>
        </is>
      </c>
      <c r="H53" s="19" t="inlineStr">
        <is>
          <t>Yes</t>
        </is>
      </c>
      <c r="I53" t="inlineStr">
        <is>
          <t>PR Approval: see CodeChange_Tickets Azure_PR_URL if Code Change=Yes</t>
        </is>
      </c>
    </row>
    <row r="54">
      <c r="A54" t="n">
        <v>39016</v>
      </c>
      <c r="B54" t="inlineStr">
        <is>
          <t>Q2-2026</t>
        </is>
      </c>
      <c r="C54" s="19" t="inlineStr">
        <is>
          <t>Yes</t>
        </is>
      </c>
      <c r="D54" s="19" t="inlineStr">
        <is>
          <t>Yes</t>
        </is>
      </c>
      <c r="E54" s="19" t="inlineStr">
        <is>
          <t>Yes</t>
        </is>
      </c>
      <c r="F54" s="19" t="inlineStr">
        <is>
          <t>Yes</t>
        </is>
      </c>
      <c r="G54" s="19" t="inlineStr">
        <is>
          <t>Yes</t>
        </is>
      </c>
      <c r="H54" s="19" t="inlineStr">
        <is>
          <t>Yes</t>
        </is>
      </c>
      <c r="I54" t="inlineStr">
        <is>
          <t>PR Approval: see CodeChange_Tickets Azure_PR_URL if Code Change=Yes</t>
        </is>
      </c>
    </row>
    <row r="55">
      <c r="A55" t="n">
        <v>35340</v>
      </c>
      <c r="B55" t="inlineStr">
        <is>
          <t>Q2-2026</t>
        </is>
      </c>
      <c r="C55" s="19" t="inlineStr">
        <is>
          <t>Yes</t>
        </is>
      </c>
      <c r="D55" s="19" t="inlineStr">
        <is>
          <t>Yes</t>
        </is>
      </c>
      <c r="E55" s="19" t="inlineStr">
        <is>
          <t>Yes</t>
        </is>
      </c>
      <c r="F55" s="20" t="inlineStr">
        <is>
          <t>No</t>
        </is>
      </c>
      <c r="G55" s="19" t="inlineStr">
        <is>
          <t>Yes</t>
        </is>
      </c>
      <c r="H55" s="19" t="inlineStr">
        <is>
          <t>Yes</t>
        </is>
      </c>
      <c r="I55" t="inlineStr">
        <is>
          <t>PR Approval: see CodeChange_Tickets Azure_PR_URL if Code Change=Yes</t>
        </is>
      </c>
    </row>
    <row r="56">
      <c r="A56" t="n">
        <v>37105</v>
      </c>
      <c r="B56" t="inlineStr">
        <is>
          <t>Q2-2026</t>
        </is>
      </c>
      <c r="C56" s="19" t="inlineStr">
        <is>
          <t>Yes</t>
        </is>
      </c>
      <c r="D56" s="19" t="inlineStr">
        <is>
          <t>Yes</t>
        </is>
      </c>
      <c r="E56" s="19" t="inlineStr">
        <is>
          <t>Yes</t>
        </is>
      </c>
      <c r="F56" s="19" t="inlineStr">
        <is>
          <t>Yes</t>
        </is>
      </c>
      <c r="G56" s="19" t="inlineStr">
        <is>
          <t>Yes</t>
        </is>
      </c>
      <c r="H56" s="19" t="inlineStr">
        <is>
          <t>Yes</t>
        </is>
      </c>
      <c r="I56" t="inlineStr">
        <is>
          <t>PR Approval: see CodeChange_Tickets Azure_PR_URL if Code Change=Yes</t>
        </is>
      </c>
    </row>
    <row r="57">
      <c r="A57" t="n">
        <v>35275</v>
      </c>
      <c r="B57" t="inlineStr">
        <is>
          <t>Q2-2026</t>
        </is>
      </c>
      <c r="C57" s="19" t="inlineStr">
        <is>
          <t>Yes</t>
        </is>
      </c>
      <c r="D57" t="inlineStr">
        <is>
          <t>N/A</t>
        </is>
      </c>
      <c r="E57" t="inlineStr">
        <is>
          <t>N/A</t>
        </is>
      </c>
      <c r="F57" s="19" t="inlineStr">
        <is>
          <t>Yes</t>
        </is>
      </c>
      <c r="G57" s="19" t="inlineStr">
        <is>
          <t>Yes</t>
        </is>
      </c>
      <c r="H57" s="19" t="inlineStr">
        <is>
          <t>Yes</t>
        </is>
      </c>
      <c r="I57" t="inlineStr">
        <is>
          <t>PR Approval: see CodeChange_Tickets Azure_PR_URL if Code Change=Yes</t>
        </is>
      </c>
    </row>
    <row r="58">
      <c r="A58" t="n">
        <v>42428</v>
      </c>
      <c r="B58" t="inlineStr">
        <is>
          <t>Q3-2026</t>
        </is>
      </c>
      <c r="C58" s="19" t="inlineStr">
        <is>
          <t>Yes</t>
        </is>
      </c>
      <c r="D58" s="19" t="inlineStr">
        <is>
          <t>Yes</t>
        </is>
      </c>
      <c r="E58" s="19" t="inlineStr">
        <is>
          <t>Yes</t>
        </is>
      </c>
      <c r="F58" s="19" t="inlineStr">
        <is>
          <t>Yes</t>
        </is>
      </c>
      <c r="G58" s="19" t="inlineStr">
        <is>
          <t>Yes</t>
        </is>
      </c>
      <c r="H58" s="19" t="inlineStr">
        <is>
          <t>Yes</t>
        </is>
      </c>
      <c r="I58" t="inlineStr">
        <is>
          <t>PR Approval: see CodeChange_Tickets Azure_PR_URL if Code Change=Yes</t>
        </is>
      </c>
    </row>
    <row r="59">
      <c r="A59" t="n">
        <v>32233</v>
      </c>
      <c r="B59" t="inlineStr">
        <is>
          <t>Q3-2026</t>
        </is>
      </c>
      <c r="C59" s="19" t="inlineStr">
        <is>
          <t>Yes</t>
        </is>
      </c>
      <c r="D59" s="19" t="inlineStr">
        <is>
          <t>Yes</t>
        </is>
      </c>
      <c r="E59" s="19" t="inlineStr">
        <is>
          <t>Yes</t>
        </is>
      </c>
      <c r="F59" s="19" t="inlineStr">
        <is>
          <t>Yes</t>
        </is>
      </c>
      <c r="G59" s="19" t="inlineStr">
        <is>
          <t>Yes</t>
        </is>
      </c>
      <c r="H59" s="19" t="inlineStr">
        <is>
          <t>Yes</t>
        </is>
      </c>
      <c r="I59" t="inlineStr">
        <is>
          <t>PR Approval: see CodeChange_Tickets Azure_PR_URL if Code Change=Yes</t>
        </is>
      </c>
    </row>
    <row r="60">
      <c r="A60" t="n">
        <v>42621</v>
      </c>
      <c r="B60" t="inlineStr">
        <is>
          <t>Q3-2026</t>
        </is>
      </c>
      <c r="C60" s="19" t="inlineStr">
        <is>
          <t>Yes</t>
        </is>
      </c>
      <c r="D60" s="19" t="inlineStr">
        <is>
          <t>Yes</t>
        </is>
      </c>
      <c r="E60" s="19" t="inlineStr">
        <is>
          <t>Yes</t>
        </is>
      </c>
      <c r="F60" s="19" t="inlineStr">
        <is>
          <t>Yes</t>
        </is>
      </c>
      <c r="G60" s="19" t="inlineStr">
        <is>
          <t>Yes</t>
        </is>
      </c>
      <c r="H60" s="19" t="inlineStr">
        <is>
          <t>Yes</t>
        </is>
      </c>
      <c r="I60" t="inlineStr">
        <is>
          <t>PR Approval: see CodeChange_Tickets Azure_PR_URL if Code Change=Yes</t>
        </is>
      </c>
    </row>
    <row r="61">
      <c r="A61" t="n">
        <v>29130</v>
      </c>
      <c r="B61" t="inlineStr">
        <is>
          <t>Q4-2025</t>
        </is>
      </c>
      <c r="C61" s="19" t="inlineStr">
        <is>
          <t>Yes</t>
        </is>
      </c>
      <c r="D61" s="19" t="inlineStr">
        <is>
          <t>Yes</t>
        </is>
      </c>
      <c r="E61" s="19" t="inlineStr">
        <is>
          <t>Yes</t>
        </is>
      </c>
      <c r="F61" s="19" t="inlineStr">
        <is>
          <t>Yes</t>
        </is>
      </c>
      <c r="G61" s="19" t="inlineStr">
        <is>
          <t>Yes</t>
        </is>
      </c>
      <c r="H61" s="19" t="inlineStr">
        <is>
          <t>Yes</t>
        </is>
      </c>
      <c r="I61" t="inlineStr">
        <is>
          <t>PR Approval: see CodeChange_Tickets Azure_PR_URL if Code Change=Yes</t>
        </is>
      </c>
    </row>
    <row r="62">
      <c r="A62" t="n">
        <v>28303</v>
      </c>
      <c r="B62" t="inlineStr">
        <is>
          <t>Q4-2025</t>
        </is>
      </c>
      <c r="C62" s="19" t="inlineStr">
        <is>
          <t>Yes</t>
        </is>
      </c>
      <c r="D62" s="19" t="inlineStr">
        <is>
          <t>Yes</t>
        </is>
      </c>
      <c r="E62" s="19" t="inlineStr">
        <is>
          <t>Yes</t>
        </is>
      </c>
      <c r="F62" s="19" t="inlineStr">
        <is>
          <t>Yes</t>
        </is>
      </c>
      <c r="G62" s="19" t="inlineStr">
        <is>
          <t>Yes</t>
        </is>
      </c>
      <c r="H62" s="19" t="inlineStr">
        <is>
          <t>Yes</t>
        </is>
      </c>
      <c r="I62" t="inlineStr">
        <is>
          <t>PR Approval: see CodeChange_Tickets Azure_PR_URL if Code Change=Yes</t>
        </is>
      </c>
    </row>
    <row r="63">
      <c r="A63" t="n">
        <v>30840</v>
      </c>
      <c r="B63" t="inlineStr">
        <is>
          <t>Q4-2025</t>
        </is>
      </c>
      <c r="C63" s="19" t="inlineStr">
        <is>
          <t>Yes</t>
        </is>
      </c>
      <c r="D63" s="19" t="inlineStr">
        <is>
          <t>Yes</t>
        </is>
      </c>
      <c r="E63" s="19" t="inlineStr">
        <is>
          <t>Yes</t>
        </is>
      </c>
      <c r="F63" s="20" t="inlineStr">
        <is>
          <t>No</t>
        </is>
      </c>
      <c r="G63" s="19" t="inlineStr">
        <is>
          <t>Yes</t>
        </is>
      </c>
      <c r="H63" s="19" t="inlineStr">
        <is>
          <t>Yes</t>
        </is>
      </c>
      <c r="I63" t="inlineStr">
        <is>
          <t>PR Approval: see CodeChange_Tickets Azure_PR_URL if Code Change=Yes</t>
        </is>
      </c>
    </row>
    <row r="64">
      <c r="A64" t="n">
        <v>30304</v>
      </c>
      <c r="B64" t="inlineStr">
        <is>
          <t>Q4-2025</t>
        </is>
      </c>
      <c r="C64" s="19" t="inlineStr">
        <is>
          <t>Yes</t>
        </is>
      </c>
      <c r="D64" s="19" t="inlineStr">
        <is>
          <t>Yes</t>
        </is>
      </c>
      <c r="E64" s="19" t="inlineStr">
        <is>
          <t>Yes</t>
        </is>
      </c>
      <c r="F64" s="20" t="inlineStr">
        <is>
          <t>No</t>
        </is>
      </c>
      <c r="G64" s="19" t="inlineStr">
        <is>
          <t>Yes</t>
        </is>
      </c>
      <c r="H64" s="19" t="inlineStr">
        <is>
          <t>Yes</t>
        </is>
      </c>
      <c r="I64" t="inlineStr">
        <is>
          <t>PR Approval: see CodeChange_Tickets Azure_PR_URL if Code Change=Yes</t>
        </is>
      </c>
    </row>
    <row r="65">
      <c r="A65" t="n">
        <v>21832</v>
      </c>
      <c r="B65" t="inlineStr">
        <is>
          <t>Q4-2025</t>
        </is>
      </c>
      <c r="C65" s="19" t="inlineStr">
        <is>
          <t>Yes</t>
        </is>
      </c>
      <c r="D65" s="19" t="inlineStr">
        <is>
          <t>Yes</t>
        </is>
      </c>
      <c r="E65" s="19" t="inlineStr">
        <is>
          <t>Yes</t>
        </is>
      </c>
      <c r="F65" s="19" t="inlineStr">
        <is>
          <t>Yes</t>
        </is>
      </c>
      <c r="G65" s="19" t="inlineStr">
        <is>
          <t>Yes</t>
        </is>
      </c>
      <c r="H65" s="19" t="inlineStr">
        <is>
          <t>Yes</t>
        </is>
      </c>
      <c r="I65" t="inlineStr">
        <is>
          <t>PR Approval: see CodeChange_Tickets Azure_PR_URL if Code Change=Yes</t>
        </is>
      </c>
    </row>
    <row r="66">
      <c r="A66" t="n">
        <v>28027</v>
      </c>
      <c r="B66" t="inlineStr">
        <is>
          <t>Q4-2025</t>
        </is>
      </c>
      <c r="C66" s="19" t="inlineStr">
        <is>
          <t>Yes</t>
        </is>
      </c>
      <c r="D66" s="19" t="inlineStr">
        <is>
          <t>Yes</t>
        </is>
      </c>
      <c r="E66" s="19" t="inlineStr">
        <is>
          <t>Yes</t>
        </is>
      </c>
      <c r="F66" s="19" t="inlineStr">
        <is>
          <t>Yes</t>
        </is>
      </c>
      <c r="G66" s="19" t="inlineStr">
        <is>
          <t>Yes</t>
        </is>
      </c>
      <c r="H66" s="19" t="inlineStr">
        <is>
          <t>Yes</t>
        </is>
      </c>
      <c r="I66" t="inlineStr">
        <is>
          <t>PR Approval: see CodeChange_Tickets Azure_PR_URL if Code Change=Yes</t>
        </is>
      </c>
    </row>
    <row r="67">
      <c r="A67" t="n">
        <v>32777</v>
      </c>
      <c r="B67" t="inlineStr">
        <is>
          <t>Q4-2025</t>
        </is>
      </c>
      <c r="C67" s="19" t="inlineStr">
        <is>
          <t>Yes</t>
        </is>
      </c>
      <c r="D67" s="19" t="inlineStr">
        <is>
          <t>Yes</t>
        </is>
      </c>
      <c r="E67" s="19" t="inlineStr">
        <is>
          <t>Yes</t>
        </is>
      </c>
      <c r="F67" s="20" t="inlineStr">
        <is>
          <t>No</t>
        </is>
      </c>
      <c r="G67" s="19" t="inlineStr">
        <is>
          <t>Yes</t>
        </is>
      </c>
      <c r="H67" s="19" t="inlineStr">
        <is>
          <t>Yes</t>
        </is>
      </c>
      <c r="I67" t="inlineStr">
        <is>
          <t>PR Approval: see CodeChange_Tickets Azure_PR_URL if Code Change=Yes</t>
        </is>
      </c>
    </row>
    <row r="69">
      <c r="A69" t="inlineStr">
        <is>
          <t>Ticket hygiene pass rate %</t>
        </is>
      </c>
      <c r="B69" t="inlineStr">
        <is>
          <t>Achieved/Not Achieved</t>
        </is>
      </c>
      <c r="C69" s="19" t="inlineStr">
        <is>
          <t>Yes</t>
        </is>
      </c>
    </row>
  </sheetData>
  <mergeCells count="1">
    <mergeCell ref="A4:H4"/>
  </mergeCells>
  <hyperlinks>
    <hyperlink ref="A1" location="Krishna_OKR_Checklist!A1" display="Krishna_OKR_Checklist!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9"/>
  <sheetViews>
    <sheetView workbookViewId="0">
      <selection activeCell="B8" sqref="B8"/>
    </sheetView>
  </sheetViews>
  <sheetFormatPr baseColWidth="8" defaultRowHeight="15"/>
  <cols>
    <col width="42" customWidth="1" style="56" min="1" max="1"/>
    <col width="26" customWidth="1" style="56" min="2" max="2"/>
    <col width="16" customWidth="1" style="56" min="3" max="4"/>
    <col width="23" customWidth="1" style="56" min="5" max="5"/>
    <col width="42" customWidth="1" style="56" min="6" max="6"/>
  </cols>
  <sheetData>
    <row r="1">
      <c r="A1" s="18" t="inlineStr">
        <is>
          <t>Krishna_OKR_Checklist!A1</t>
        </is>
      </c>
      <c r="B1" s="18" t="inlineStr">
        <is>
          <t>Krishna_OKR_Checklist!A1</t>
        </is>
      </c>
    </row>
    <row r="3" ht="17.25" customHeight="1" s="56">
      <c r="A3" s="2" t="inlineStr">
        <is>
          <t>SLA_CycleDays (Helpdesk equivalent of Release_SLA)</t>
        </is>
      </c>
    </row>
    <row r="4">
      <c r="A4" s="57" t="inlineStr">
        <is>
          <t>No release SLA export. Proxy = average Assign Date → Closure Date cycle days (target &lt;= 45).</t>
        </is>
      </c>
    </row>
    <row r="6">
      <c r="A6" s="25" t="inlineStr">
        <is>
          <t>Quarter</t>
        </is>
      </c>
      <c r="B6" s="25" t="inlineStr">
        <is>
          <t>Closed</t>
        </is>
      </c>
      <c r="C6" s="25" t="inlineStr">
        <is>
          <t>Avg Cycle Days</t>
        </is>
      </c>
      <c r="D6" s="25" t="inlineStr">
        <is>
          <t>Max Cycle Days</t>
        </is>
      </c>
      <c r="E6" s="25" t="inlineStr">
        <is>
          <t>Achieved/Not Achieved</t>
        </is>
      </c>
      <c r="F6" s="25" t="inlineStr">
        <is>
          <t>Comments</t>
        </is>
      </c>
    </row>
    <row r="7">
      <c r="A7" t="inlineStr">
        <is>
          <t>Q1-2026</t>
        </is>
      </c>
      <c r="B7" t="n">
        <v>8</v>
      </c>
      <c r="C7" t="n">
        <v>31.4</v>
      </c>
      <c r="D7" t="n">
        <v>42</v>
      </c>
      <c r="E7" s="19" t="inlineStr">
        <is>
          <t>Yes</t>
        </is>
      </c>
      <c r="F7" t="inlineStr">
        <is>
          <t>Quality Achieved — proxy threshold 45 days</t>
        </is>
      </c>
    </row>
    <row r="8">
      <c r="A8" t="inlineStr">
        <is>
          <t>Q2-2026</t>
        </is>
      </c>
      <c r="B8" t="n">
        <v>20</v>
      </c>
      <c r="C8" t="n">
        <v>34</v>
      </c>
      <c r="D8" t="n">
        <v>45</v>
      </c>
      <c r="E8" s="19" t="inlineStr">
        <is>
          <t>Yes</t>
        </is>
      </c>
      <c r="F8" t="inlineStr">
        <is>
          <t>Quality Achieved — proxy threshold 45 days</t>
        </is>
      </c>
    </row>
    <row r="9">
      <c r="A9" t="inlineStr">
        <is>
          <t>Q4-2025</t>
        </is>
      </c>
      <c r="B9" t="n">
        <v>7</v>
      </c>
      <c r="C9" t="n">
        <v>33</v>
      </c>
      <c r="D9" t="n">
        <v>49</v>
      </c>
      <c r="E9" s="19" t="inlineStr">
        <is>
          <t>Yes</t>
        </is>
      </c>
      <c r="F9" t="inlineStr">
        <is>
          <t>Quality Achieved — proxy threshold 45 days</t>
        </is>
      </c>
    </row>
  </sheetData>
  <hyperlinks>
    <hyperlink ref="A1" location="Krishna_OKR_Checklist!A1" display="Krishna_OKR_Checklist!A1"/>
    <hyperlink ref="B1" location="Krishna_OKR_Checklist!A1" display="Krishna_OKR_Checklist!A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45"/>
  <sheetViews>
    <sheetView topLeftCell="A13" workbookViewId="0">
      <selection activeCell="D19" sqref="D19"/>
    </sheetView>
  </sheetViews>
  <sheetFormatPr baseColWidth="8" defaultRowHeight="15"/>
  <cols>
    <col width="40" customWidth="1" style="56" min="1" max="1"/>
    <col width="26" customWidth="1" style="56" min="2" max="2"/>
    <col width="20" customWidth="1" style="56" min="3" max="3"/>
    <col width="40" customWidth="1" style="56" min="4" max="4"/>
    <col width="14" customWidth="1" style="56" min="5" max="5"/>
    <col width="40" customWidth="1" style="56" min="6" max="6"/>
  </cols>
  <sheetData>
    <row r="1">
      <c r="A1" s="49" t="inlineStr">
        <is>
          <t>Krishna_OKR_Checklist!A1</t>
        </is>
      </c>
      <c r="B1" s="18" t="n"/>
    </row>
    <row r="3" ht="17.25" customHeight="1" s="56">
      <c r="A3" s="2" t="inlineStr">
        <is>
          <t>Customer_Defect_Themes (equivalent of Production_Wise_Issue_Summary / External_Bugs)</t>
        </is>
      </c>
    </row>
    <row r="4">
      <c r="A4" s="57" t="inlineStr">
        <is>
          <t>External bug field not in Helpdesk export. Proxy = closed tickets whose description looks defect-like (error/incorrect/bug/duplicate/missing…). Threshold &lt;= 4 / quarter.</t>
        </is>
      </c>
    </row>
    <row r="6">
      <c r="A6" s="25" t="inlineStr">
        <is>
          <t>Quarter</t>
        </is>
      </c>
      <c r="B6" s="25" t="inlineStr">
        <is>
          <t>Closed</t>
        </is>
      </c>
      <c r="C6" s="25" t="inlineStr">
        <is>
          <t>Defect-like Themes</t>
        </is>
      </c>
      <c r="D6" s="25" t="inlineStr">
        <is>
          <t>Achieved/Not Achieved</t>
        </is>
      </c>
      <c r="E6" s="25" t="inlineStr">
        <is>
          <t>Ticket Nos.</t>
        </is>
      </c>
      <c r="F6" s="25" t="inlineStr">
        <is>
          <t>Comments</t>
        </is>
      </c>
    </row>
    <row r="7">
      <c r="A7" t="inlineStr">
        <is>
          <t>Q1-2026</t>
        </is>
      </c>
      <c r="B7" t="n">
        <v>8</v>
      </c>
      <c r="C7" t="n">
        <v>2</v>
      </c>
      <c r="D7" s="19" t="inlineStr">
        <is>
          <t>Yes</t>
        </is>
      </c>
      <c r="E7" t="inlineStr">
        <is>
          <t>33439, 16796</t>
        </is>
      </c>
      <c r="F7" t="inlineStr">
        <is>
          <t>Within &lt;=4 defect-theme threshold</t>
        </is>
      </c>
    </row>
    <row r="8">
      <c r="A8" t="inlineStr">
        <is>
          <t>Q2-2026</t>
        </is>
      </c>
      <c r="B8" t="n">
        <v>19</v>
      </c>
      <c r="C8" t="n">
        <v>2</v>
      </c>
      <c r="D8" s="19" t="inlineStr">
        <is>
          <t>Yes</t>
        </is>
      </c>
      <c r="E8" t="inlineStr">
        <is>
          <t>33585, 37105</t>
        </is>
      </c>
      <c r="F8" t="inlineStr">
        <is>
          <t>Within &lt;=4 defect-theme threshold</t>
        </is>
      </c>
    </row>
    <row r="9">
      <c r="A9" t="inlineStr">
        <is>
          <t>Q4-2025</t>
        </is>
      </c>
      <c r="B9" t="n">
        <v>7</v>
      </c>
      <c r="C9" t="n">
        <v>0</v>
      </c>
      <c r="D9" s="19" t="inlineStr">
        <is>
          <t>Yes</t>
        </is>
      </c>
      <c r="E9" t="inlineStr">
        <is>
          <t>-</t>
        </is>
      </c>
      <c r="F9" t="inlineStr">
        <is>
          <t>Within &lt;=4 defect-theme threshold</t>
        </is>
      </c>
    </row>
    <row r="11">
      <c r="A11" s="25" t="inlineStr">
        <is>
          <t>Ticket No.</t>
        </is>
      </c>
      <c r="B11" s="25" t="inlineStr">
        <is>
          <t>Quarter</t>
        </is>
      </c>
      <c r="C11" s="25" t="inlineStr">
        <is>
          <t>Status</t>
        </is>
      </c>
      <c r="D11" s="25" t="inlineStr">
        <is>
          <t>Description</t>
        </is>
      </c>
      <c r="E11" s="25" t="inlineStr">
        <is>
          <t>Defect-like?</t>
        </is>
      </c>
    </row>
    <row r="12">
      <c r="A12" t="n">
        <v>29717</v>
      </c>
      <c r="B12" t="inlineStr">
        <is>
          <t>Q1-2026</t>
        </is>
      </c>
      <c r="C12" t="inlineStr">
        <is>
          <t>Closed</t>
        </is>
      </c>
      <c r="D12" t="inlineStr">
        <is>
          <t>Supersessions not showing in EPC</t>
        </is>
      </c>
      <c r="E12" s="20" t="inlineStr">
        <is>
          <t>No</t>
        </is>
      </c>
    </row>
    <row r="13">
      <c r="A13" t="n">
        <v>33439</v>
      </c>
      <c r="B13" t="inlineStr">
        <is>
          <t>Q1-2026</t>
        </is>
      </c>
      <c r="C13" t="inlineStr">
        <is>
          <t>Closed</t>
        </is>
      </c>
      <c r="D13" t="inlineStr">
        <is>
          <t>Volvo built Autocar VINs missing (194*** &amp; 195***)</t>
        </is>
      </c>
      <c r="E13" s="19" t="inlineStr">
        <is>
          <t>Yes</t>
        </is>
      </c>
    </row>
    <row r="14">
      <c r="A14" t="n">
        <v>33376</v>
      </c>
      <c r="B14" t="inlineStr">
        <is>
          <t>Q1-2026</t>
        </is>
      </c>
      <c r="C14" t="inlineStr">
        <is>
          <t>Closed</t>
        </is>
      </c>
      <c r="D14" t="inlineStr">
        <is>
          <t>EPC Enhancement 2 - VMRS Data in Part Search Table</t>
        </is>
      </c>
      <c r="E14" s="20" t="inlineStr">
        <is>
          <t>No</t>
        </is>
      </c>
    </row>
    <row r="15">
      <c r="A15" t="n">
        <v>32754</v>
      </c>
      <c r="B15" t="inlineStr">
        <is>
          <t>Q1-2026</t>
        </is>
      </c>
      <c r="C15" t="inlineStr">
        <is>
          <t>Closed</t>
        </is>
      </c>
      <c r="D15" t="inlineStr">
        <is>
          <t>Vin's not showing up in EPC</t>
        </is>
      </c>
      <c r="E15" s="20" t="inlineStr">
        <is>
          <t>No</t>
        </is>
      </c>
    </row>
    <row r="16">
      <c r="A16" t="n">
        <v>16796</v>
      </c>
      <c r="B16" t="inlineStr">
        <is>
          <t>Q1-2026</t>
        </is>
      </c>
      <c r="C16" t="inlineStr">
        <is>
          <t>Closed</t>
        </is>
      </c>
      <c r="D16" t="inlineStr">
        <is>
          <t>Missing steering gear serial number</t>
        </is>
      </c>
      <c r="E16" s="19" t="inlineStr">
        <is>
          <t>Yes</t>
        </is>
      </c>
    </row>
    <row r="17">
      <c r="A17" t="n">
        <v>15635</v>
      </c>
      <c r="B17" t="inlineStr">
        <is>
          <t>Q1-2026</t>
        </is>
      </c>
      <c r="C17" t="inlineStr">
        <is>
          <t>Closed</t>
        </is>
      </c>
      <c r="D17" t="inlineStr">
        <is>
          <t>Mass Upload Needed for PRAC</t>
        </is>
      </c>
      <c r="E17" s="20" t="inlineStr">
        <is>
          <t>No</t>
        </is>
      </c>
    </row>
    <row r="18">
      <c r="A18" t="n">
        <v>32836</v>
      </c>
      <c r="B18" t="inlineStr">
        <is>
          <t>Q1-2026</t>
        </is>
      </c>
      <c r="C18" t="inlineStr">
        <is>
          <t>Closed</t>
        </is>
      </c>
      <c r="D18" t="inlineStr">
        <is>
          <t>Vin's not showing up in EPC</t>
        </is>
      </c>
      <c r="E18" s="20" t="inlineStr">
        <is>
          <t>No</t>
        </is>
      </c>
    </row>
    <row r="19">
      <c r="A19" t="n">
        <v>35062</v>
      </c>
      <c r="B19" t="inlineStr">
        <is>
          <t>Q1-2026</t>
        </is>
      </c>
      <c r="C19" t="inlineStr">
        <is>
          <t>Closed</t>
        </is>
      </c>
      <c r="D19" t="inlineStr">
        <is>
          <t>EPC - Module map links are broke</t>
        </is>
      </c>
      <c r="E19" s="20" t="inlineStr">
        <is>
          <t>No</t>
        </is>
      </c>
    </row>
    <row r="20">
      <c r="A20" t="n">
        <v>35609</v>
      </c>
      <c r="B20" t="inlineStr">
        <is>
          <t>Q2-2026</t>
        </is>
      </c>
      <c r="C20" t="inlineStr">
        <is>
          <t>Closed</t>
        </is>
      </c>
      <c r="D20" t="inlineStr">
        <is>
          <t>Replaced by part numbers in EPC are no longer displaying</t>
        </is>
      </c>
      <c r="E20" s="20" t="inlineStr">
        <is>
          <t>No</t>
        </is>
      </c>
    </row>
    <row r="21">
      <c r="A21" t="n">
        <v>33585</v>
      </c>
      <c r="B21" t="inlineStr">
        <is>
          <t>Q2-2026</t>
        </is>
      </c>
      <c r="C21" t="inlineStr">
        <is>
          <t>Closed</t>
        </is>
      </c>
      <c r="D21" t="inlineStr">
        <is>
          <t>EPC - A2390062-001 wrong 3D image in EPC</t>
        </is>
      </c>
      <c r="E21" s="19" t="inlineStr">
        <is>
          <t>Yes</t>
        </is>
      </c>
    </row>
    <row r="22">
      <c r="A22" t="n">
        <v>35860</v>
      </c>
      <c r="B22" t="inlineStr">
        <is>
          <t>Q2-2026</t>
        </is>
      </c>
      <c r="C22" t="inlineStr">
        <is>
          <t>Closed</t>
        </is>
      </c>
      <c r="D22" t="inlineStr">
        <is>
          <t>EPC customer unable to add items to cart</t>
        </is>
      </c>
      <c r="E22" s="20" t="inlineStr">
        <is>
          <t>No</t>
        </is>
      </c>
    </row>
    <row r="23">
      <c r="A23" t="n">
        <v>35023</v>
      </c>
      <c r="B23" t="inlineStr">
        <is>
          <t>Q2-2026</t>
        </is>
      </c>
      <c r="C23" t="inlineStr">
        <is>
          <t>Closed</t>
        </is>
      </c>
      <c r="D23" t="inlineStr">
        <is>
          <t>MDM - Updated Classification of Attached Parts List</t>
        </is>
      </c>
      <c r="E23" s="20" t="inlineStr">
        <is>
          <t>No</t>
        </is>
      </c>
    </row>
    <row r="24">
      <c r="A24" t="n">
        <v>39212</v>
      </c>
      <c r="B24" t="inlineStr">
        <is>
          <t>Q2-2026</t>
        </is>
      </c>
      <c r="C24" t="inlineStr">
        <is>
          <t>Closed</t>
        </is>
      </c>
      <c r="D24" t="inlineStr">
        <is>
          <t>BOM classifications</t>
        </is>
      </c>
      <c r="E24" s="20" t="inlineStr">
        <is>
          <t>No</t>
        </is>
      </c>
    </row>
    <row r="25">
      <c r="A25" t="n">
        <v>35692</v>
      </c>
      <c r="B25" t="inlineStr">
        <is>
          <t>Q2-2026</t>
        </is>
      </c>
      <c r="C25" t="inlineStr">
        <is>
          <t>Closed</t>
        </is>
      </c>
      <c r="D25" t="inlineStr">
        <is>
          <t>EPC - A2390062-001 3D image</t>
        </is>
      </c>
      <c r="E25" s="20" t="inlineStr">
        <is>
          <t>No</t>
        </is>
      </c>
    </row>
    <row r="26">
      <c r="A26" t="n">
        <v>38045</v>
      </c>
      <c r="B26" t="inlineStr">
        <is>
          <t>Q2-2026</t>
        </is>
      </c>
      <c r="C26" t="inlineStr">
        <is>
          <t>Closed</t>
        </is>
      </c>
      <c r="D26" t="inlineStr">
        <is>
          <t>EPC - Not showing the NetSuite stock</t>
        </is>
      </c>
      <c r="E26" s="20" t="inlineStr">
        <is>
          <t>No</t>
        </is>
      </c>
    </row>
    <row r="27">
      <c r="A27" t="n">
        <v>41725</v>
      </c>
      <c r="B27" t="inlineStr">
        <is>
          <t>Q2-2026</t>
        </is>
      </c>
      <c r="C27" t="inlineStr">
        <is>
          <t>Closed</t>
        </is>
      </c>
      <c r="D27" t="inlineStr">
        <is>
          <t>MDM - No longer receiving emails</t>
        </is>
      </c>
      <c r="E27" s="20" t="inlineStr">
        <is>
          <t>No</t>
        </is>
      </c>
    </row>
    <row r="28">
      <c r="A28" t="n">
        <v>32776</v>
      </c>
      <c r="B28" t="inlineStr">
        <is>
          <t>Q2-2026</t>
        </is>
      </c>
      <c r="C28" t="inlineStr">
        <is>
          <t>Closed</t>
        </is>
      </c>
      <c r="D28" t="inlineStr">
        <is>
          <t>Vin's not showing up in EPC</t>
        </is>
      </c>
      <c r="E28" s="20" t="inlineStr">
        <is>
          <t>No</t>
        </is>
      </c>
    </row>
    <row r="29">
      <c r="A29" t="n">
        <v>41075</v>
      </c>
      <c r="B29" t="inlineStr">
        <is>
          <t>Q2-2026</t>
        </is>
      </c>
      <c r="C29" t="inlineStr">
        <is>
          <t>Closed</t>
        </is>
      </c>
      <c r="D29" t="inlineStr">
        <is>
          <t>Autocar EPC - VMRS Search Functionality Rollout</t>
        </is>
      </c>
      <c r="E29" s="20" t="inlineStr">
        <is>
          <t>No</t>
        </is>
      </c>
    </row>
    <row r="30">
      <c r="A30" t="n">
        <v>41559</v>
      </c>
      <c r="B30" t="inlineStr">
        <is>
          <t>Q2-2026</t>
        </is>
      </c>
      <c r="C30" t="inlineStr">
        <is>
          <t>Closed</t>
        </is>
      </c>
      <c r="D30" t="inlineStr">
        <is>
          <t>Overwrite Images on EPC Website</t>
        </is>
      </c>
      <c r="E30" s="20" t="inlineStr">
        <is>
          <t>No</t>
        </is>
      </c>
    </row>
    <row r="31">
      <c r="A31" t="n">
        <v>36707</v>
      </c>
      <c r="B31" t="inlineStr">
        <is>
          <t>Q2-2026</t>
        </is>
      </c>
      <c r="C31" t="inlineStr">
        <is>
          <t>Closed</t>
        </is>
      </c>
      <c r="D31" t="inlineStr">
        <is>
          <t>Vin. 252789 not showing up in EPC</t>
        </is>
      </c>
      <c r="E31" s="20" t="inlineStr">
        <is>
          <t>No</t>
        </is>
      </c>
    </row>
    <row r="32">
      <c r="A32" t="n">
        <v>37321</v>
      </c>
      <c r="B32" t="inlineStr">
        <is>
          <t>Q2-2026</t>
        </is>
      </c>
      <c r="C32" t="inlineStr">
        <is>
          <t>Closed</t>
        </is>
      </c>
      <c r="D32" t="inlineStr">
        <is>
          <t>239002 VIN. not showing up in EPC</t>
        </is>
      </c>
      <c r="E32" s="20" t="inlineStr">
        <is>
          <t>No</t>
        </is>
      </c>
    </row>
    <row r="33">
      <c r="A33" t="n">
        <v>38355</v>
      </c>
      <c r="B33" t="inlineStr">
        <is>
          <t>Q2-2026</t>
        </is>
      </c>
      <c r="C33" t="inlineStr">
        <is>
          <t>Closed</t>
        </is>
      </c>
      <c r="D33" t="inlineStr">
        <is>
          <t>Get blank screen when clicking on Replaced by # in QAD</t>
        </is>
      </c>
      <c r="E33" s="20" t="inlineStr">
        <is>
          <t>No</t>
        </is>
      </c>
    </row>
    <row r="34">
      <c r="A34" t="n">
        <v>38288</v>
      </c>
      <c r="B34" t="inlineStr">
        <is>
          <t>Q2-2026</t>
        </is>
      </c>
      <c r="C34" t="inlineStr">
        <is>
          <t>Closed</t>
        </is>
      </c>
      <c r="D34" t="inlineStr">
        <is>
          <t>A7636002E011 not showing in EPC</t>
        </is>
      </c>
      <c r="E34" s="20" t="inlineStr">
        <is>
          <t>No</t>
        </is>
      </c>
    </row>
    <row r="35">
      <c r="A35" t="n">
        <v>38325</v>
      </c>
      <c r="B35" t="inlineStr">
        <is>
          <t>Q2-2026</t>
        </is>
      </c>
      <c r="C35" t="inlineStr">
        <is>
          <t>Closed</t>
        </is>
      </c>
      <c r="D35" t="inlineStr">
        <is>
          <t>Implement Microsoft Clarity on the EPC portal</t>
        </is>
      </c>
      <c r="E35" s="20" t="inlineStr">
        <is>
          <t>No</t>
        </is>
      </c>
    </row>
    <row r="36">
      <c r="A36" t="n">
        <v>39016</v>
      </c>
      <c r="B36" t="inlineStr">
        <is>
          <t>Q2-2026</t>
        </is>
      </c>
      <c r="C36" t="inlineStr">
        <is>
          <t>Closed</t>
        </is>
      </c>
      <c r="D36" t="inlineStr">
        <is>
          <t>MDM - Saving part with NA</t>
        </is>
      </c>
      <c r="E36" s="20" t="inlineStr">
        <is>
          <t>No</t>
        </is>
      </c>
    </row>
    <row r="37">
      <c r="A37" t="n">
        <v>35340</v>
      </c>
      <c r="B37" t="inlineStr">
        <is>
          <t>Q2-2026</t>
        </is>
      </c>
      <c r="C37" t="inlineStr">
        <is>
          <t>Closed</t>
        </is>
      </c>
      <c r="D37" t="inlineStr">
        <is>
          <t>Vin. 227848 not showing up in EPC</t>
        </is>
      </c>
      <c r="E37" s="20" t="inlineStr">
        <is>
          <t>No</t>
        </is>
      </c>
    </row>
    <row r="38">
      <c r="A38" t="n">
        <v>37105</v>
      </c>
      <c r="B38" t="inlineStr">
        <is>
          <t>Q2-2026</t>
        </is>
      </c>
      <c r="C38" t="inlineStr">
        <is>
          <t>Closed</t>
        </is>
      </c>
      <c r="D38" t="inlineStr">
        <is>
          <t>Accounting issue with setting up a customer in the system - MDM</t>
        </is>
      </c>
      <c r="E38" s="19" t="inlineStr">
        <is>
          <t>Yes</t>
        </is>
      </c>
    </row>
    <row r="39">
      <c r="A39" t="n">
        <v>29130</v>
      </c>
      <c r="B39" t="inlineStr">
        <is>
          <t>Q4-2025</t>
        </is>
      </c>
      <c r="C39" t="inlineStr">
        <is>
          <t>Closed</t>
        </is>
      </c>
      <c r="D39" t="inlineStr">
        <is>
          <t>Showing non-invoiced VINs</t>
        </is>
      </c>
      <c r="E39" s="20" t="inlineStr">
        <is>
          <t>No</t>
        </is>
      </c>
    </row>
    <row r="40">
      <c r="A40" t="n">
        <v>28303</v>
      </c>
      <c r="B40" t="inlineStr">
        <is>
          <t>Q4-2025</t>
        </is>
      </c>
      <c r="C40" t="inlineStr">
        <is>
          <t>Closed</t>
        </is>
      </c>
      <c r="D40" t="inlineStr">
        <is>
          <t>KIT S1209010K001</t>
        </is>
      </c>
      <c r="E40" s="20" t="inlineStr">
        <is>
          <t>No</t>
        </is>
      </c>
    </row>
    <row r="41">
      <c r="A41" t="n">
        <v>30840</v>
      </c>
      <c r="B41" t="inlineStr">
        <is>
          <t>Q4-2025</t>
        </is>
      </c>
      <c r="C41" t="inlineStr">
        <is>
          <t>Closed</t>
        </is>
      </c>
      <c r="D41" t="inlineStr">
        <is>
          <t>A3892002E067 EPC Part List discrepancy</t>
        </is>
      </c>
      <c r="E41" s="20" t="inlineStr">
        <is>
          <t>No</t>
        </is>
      </c>
    </row>
    <row r="42">
      <c r="A42" t="n">
        <v>30304</v>
      </c>
      <c r="B42" t="inlineStr">
        <is>
          <t>Q4-2025</t>
        </is>
      </c>
      <c r="C42" t="inlineStr">
        <is>
          <t>Closed</t>
        </is>
      </c>
      <c r="D42" t="inlineStr">
        <is>
          <t>A3885000E049 &amp; A7352001E129 EPC Part List discrepancies</t>
        </is>
      </c>
      <c r="E42" s="20" t="inlineStr">
        <is>
          <t>No</t>
        </is>
      </c>
    </row>
    <row r="43">
      <c r="A43" t="n">
        <v>21832</v>
      </c>
      <c r="B43" t="inlineStr">
        <is>
          <t>Q4-2025</t>
        </is>
      </c>
      <c r="C43" t="inlineStr">
        <is>
          <t>Closed</t>
        </is>
      </c>
      <c r="D43" t="inlineStr">
        <is>
          <t>BOMs to Service add date</t>
        </is>
      </c>
      <c r="E43" s="20" t="inlineStr">
        <is>
          <t>No</t>
        </is>
      </c>
    </row>
    <row r="44">
      <c r="A44" t="n">
        <v>28027</v>
      </c>
      <c r="B44" t="inlineStr">
        <is>
          <t>Q4-2025</t>
        </is>
      </c>
      <c r="C44" t="inlineStr">
        <is>
          <t>Closed</t>
        </is>
      </c>
      <c r="D44" t="inlineStr">
        <is>
          <t>Is Serviced Toggle</t>
        </is>
      </c>
      <c r="E44" s="20" t="inlineStr">
        <is>
          <t>No</t>
        </is>
      </c>
    </row>
    <row r="45">
      <c r="A45" t="n">
        <v>32777</v>
      </c>
      <c r="B45" t="inlineStr">
        <is>
          <t>Q4-2025</t>
        </is>
      </c>
      <c r="C45" t="inlineStr">
        <is>
          <t>Closed</t>
        </is>
      </c>
      <c r="D45" t="inlineStr">
        <is>
          <t>Vin's not showing up in EPC</t>
        </is>
      </c>
      <c r="E45" s="20" t="inlineStr">
        <is>
          <t>No</t>
        </is>
      </c>
    </row>
  </sheetData>
  <hyperlinks>
    <hyperlink ref="A1" location="Krishna_OKR_Checklist!A1" display="Krishna_OKR_Checklist!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0"/>
  <sheetViews>
    <sheetView workbookViewId="0">
      <selection activeCell="B9" sqref="B9"/>
    </sheetView>
  </sheetViews>
  <sheetFormatPr baseColWidth="8" defaultRowHeight="15"/>
  <cols>
    <col width="42" customWidth="1" style="56" min="1" max="1"/>
    <col width="26" customWidth="1" style="56" min="2" max="2"/>
    <col width="20" customWidth="1" style="56" min="3" max="3"/>
    <col width="12" customWidth="1" style="56" min="4" max="4"/>
    <col width="23" customWidth="1" style="56" min="5" max="5"/>
    <col width="13" customWidth="1" style="56" min="6" max="6"/>
  </cols>
  <sheetData>
    <row r="1">
      <c r="A1" s="49" t="inlineStr">
        <is>
          <t>Krishna_OKR_Checklist!A1</t>
        </is>
      </c>
      <c r="B1" s="18" t="n"/>
    </row>
    <row r="3" ht="17.25" customHeight="1" s="56">
      <c r="A3" s="2" t="inlineStr">
        <is>
          <t>Rework_Reopen_Proxy (no reopen field in Helpdesk export)</t>
        </is>
      </c>
    </row>
    <row r="4">
      <c r="A4" s="57" t="inlineStr">
        <is>
          <t>Proxy = OnHold / In-UAT / Approver statuses or reopen/rework keywords. Target rate &lt;= 20%.</t>
        </is>
      </c>
    </row>
    <row r="6">
      <c r="A6" s="25" t="inlineStr">
        <is>
          <t>Quarter</t>
        </is>
      </c>
      <c r="B6" s="25" t="inlineStr">
        <is>
          <t>Tickets</t>
        </is>
      </c>
      <c r="C6" s="25" t="inlineStr">
        <is>
          <t>Rework Proxy Count</t>
        </is>
      </c>
      <c r="D6" s="25" t="inlineStr">
        <is>
          <t>Rate %</t>
        </is>
      </c>
      <c r="E6" s="25" t="inlineStr">
        <is>
          <t>Achieved/Not Achieved</t>
        </is>
      </c>
      <c r="F6" s="25" t="inlineStr">
        <is>
          <t>Ticket Nos.</t>
        </is>
      </c>
    </row>
    <row r="7">
      <c r="A7" s="40" t="inlineStr">
        <is>
          <t>Q3-2025</t>
        </is>
      </c>
      <c r="B7" s="40" t="n">
        <v>0</v>
      </c>
      <c r="C7" s="40" t="n">
        <v>0</v>
      </c>
      <c r="D7" s="40" t="n">
        <v>0</v>
      </c>
      <c r="E7" s="50" t="inlineStr">
        <is>
          <t>Yes</t>
        </is>
      </c>
      <c r="F7" s="40" t="inlineStr">
        <is>
          <t>-</t>
        </is>
      </c>
    </row>
    <row r="8">
      <c r="A8" s="40" t="inlineStr">
        <is>
          <t>Q4-2025</t>
        </is>
      </c>
      <c r="B8" s="40" t="n">
        <v>7</v>
      </c>
      <c r="C8" s="40" t="n">
        <v>0</v>
      </c>
      <c r="D8" s="40" t="n">
        <v>0</v>
      </c>
      <c r="E8" s="50" t="inlineStr">
        <is>
          <t>Yes</t>
        </is>
      </c>
      <c r="F8" s="40" t="inlineStr">
        <is>
          <t>-</t>
        </is>
      </c>
    </row>
    <row r="9">
      <c r="A9" s="40" t="inlineStr">
        <is>
          <t>Q1-2026</t>
        </is>
      </c>
      <c r="B9" s="40" t="n">
        <v>10</v>
      </c>
      <c r="C9" s="40" t="n">
        <v>0</v>
      </c>
      <c r="D9" s="40" t="n">
        <v>0</v>
      </c>
      <c r="E9" s="50" t="inlineStr">
        <is>
          <t>Yes</t>
        </is>
      </c>
      <c r="F9" s="40" t="inlineStr">
        <is>
          <t>-</t>
        </is>
      </c>
    </row>
    <row r="10">
      <c r="A10" s="40" t="inlineStr">
        <is>
          <t>Q2-2026</t>
        </is>
      </c>
      <c r="B10" s="40" t="n">
        <v>20</v>
      </c>
      <c r="C10" s="40" t="n">
        <v>0</v>
      </c>
      <c r="D10" s="40" t="n">
        <v>0</v>
      </c>
      <c r="E10" s="50" t="inlineStr">
        <is>
          <t>Yes</t>
        </is>
      </c>
      <c r="F10" s="40" t="inlineStr">
        <is>
          <t>-</t>
        </is>
      </c>
    </row>
  </sheetData>
  <hyperlinks>
    <hyperlink ref="A1" location="Krishna_OKR_Checklist!A1" display="Krishna_OKR_Checklist!A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45"/>
  <sheetViews>
    <sheetView topLeftCell="B28" workbookViewId="0">
      <selection activeCell="D15" sqref="D15"/>
    </sheetView>
  </sheetViews>
  <sheetFormatPr baseColWidth="8" defaultRowHeight="15"/>
  <cols>
    <col width="79" bestFit="1" customWidth="1" style="56" min="1" max="1"/>
    <col width="36" customWidth="1" style="56" min="2" max="2"/>
    <col width="13" customWidth="1" style="56" min="3" max="3"/>
    <col width="21" customWidth="1" style="56" min="4" max="6"/>
    <col width="12" customWidth="1" style="56" min="7" max="8"/>
    <col width="13" customWidth="1" style="56" min="9" max="9"/>
    <col width="20" customWidth="1" style="56" min="10" max="10"/>
    <col width="19" customWidth="1" style="56" min="11" max="11"/>
    <col width="12" customWidth="1" style="56" min="12" max="13"/>
  </cols>
  <sheetData>
    <row r="1">
      <c r="A1" s="49" t="inlineStr">
        <is>
          <t>Krishna_OKR_Checklist!A1</t>
        </is>
      </c>
      <c r="B1" s="18" t="n"/>
    </row>
    <row r="3" ht="17.25" customHeight="1" s="56">
      <c r="A3" s="2" t="inlineStr">
        <is>
          <t>Tickets_Master_Krishna — full Helpdesk dump (correlation source of truth)</t>
        </is>
      </c>
    </row>
    <row r="5">
      <c r="A5" s="25" t="inlineStr">
        <is>
          <t>Ticket No.</t>
        </is>
      </c>
      <c r="B5" s="25" t="inlineStr">
        <is>
          <t>Description</t>
        </is>
      </c>
      <c r="C5" s="25" t="inlineStr">
        <is>
          <t>Status</t>
        </is>
      </c>
      <c r="D5" s="25" t="inlineStr">
        <is>
          <t>Month</t>
        </is>
      </c>
      <c r="E5" s="25" t="inlineStr">
        <is>
          <t>Assign Date</t>
        </is>
      </c>
      <c r="F5" s="25" t="inlineStr">
        <is>
          <t>Closure Date</t>
        </is>
      </c>
      <c r="G5" s="25" t="inlineStr">
        <is>
          <t>Owner</t>
        </is>
      </c>
      <c r="H5" s="25" t="inlineStr">
        <is>
          <t>SP Change</t>
        </is>
      </c>
      <c r="I5" s="25" t="inlineStr">
        <is>
          <t>Code Change</t>
        </is>
      </c>
      <c r="J5" s="25" t="inlineStr">
        <is>
          <t>Code Lines Changed</t>
        </is>
      </c>
      <c r="K5" s="25" t="inlineStr">
        <is>
          <t>SQL Lines Changed</t>
        </is>
      </c>
      <c r="L5" s="25" t="inlineStr">
        <is>
          <t>Quarter</t>
        </is>
      </c>
      <c r="M5" s="25" t="inlineStr">
        <is>
          <t>Cycle Days</t>
        </is>
      </c>
    </row>
    <row r="6">
      <c r="A6" s="4" t="n">
        <v>15635</v>
      </c>
      <c r="B6" s="4" t="inlineStr">
        <is>
          <t>Mass Upload Needed for PRAC</t>
        </is>
      </c>
      <c r="C6" s="4" t="inlineStr">
        <is>
          <t>Closed</t>
        </is>
      </c>
      <c r="D6" s="6" t="n">
        <v>46082</v>
      </c>
      <c r="E6" s="5" t="n">
        <v>46065</v>
      </c>
      <c r="F6" s="5" t="n">
        <v>46094</v>
      </c>
      <c r="G6" s="4" t="inlineStr">
        <is>
          <t>Krishna</t>
        </is>
      </c>
      <c r="H6" s="4" t="inlineStr">
        <is>
          <t>yes</t>
        </is>
      </c>
      <c r="I6" s="4" t="n"/>
      <c r="J6" s="4" t="n"/>
      <c r="K6" s="4" t="n">
        <v>44</v>
      </c>
      <c r="L6" s="4" t="inlineStr">
        <is>
          <t>Q1-2026</t>
        </is>
      </c>
      <c r="M6" s="4" t="n">
        <v>29</v>
      </c>
    </row>
    <row r="7">
      <c r="A7" s="4" t="n">
        <v>16796</v>
      </c>
      <c r="B7" s="4" t="inlineStr">
        <is>
          <t>Missing steering gear serial number</t>
        </is>
      </c>
      <c r="C7" s="4" t="inlineStr">
        <is>
          <t>Closed</t>
        </is>
      </c>
      <c r="D7" s="6" t="n">
        <v>46082</v>
      </c>
      <c r="E7" s="5" t="n">
        <v>46056</v>
      </c>
      <c r="F7" s="5" t="n">
        <v>46092</v>
      </c>
      <c r="G7" s="4" t="inlineStr">
        <is>
          <t>Krishna</t>
        </is>
      </c>
      <c r="H7" s="4" t="n"/>
      <c r="I7" s="4" t="inlineStr">
        <is>
          <t>yes</t>
        </is>
      </c>
      <c r="J7" s="4" t="n">
        <v>94</v>
      </c>
      <c r="K7" s="4" t="n"/>
      <c r="L7" s="4" t="inlineStr">
        <is>
          <t>Q1-2026</t>
        </is>
      </c>
      <c r="M7" s="4" t="n">
        <v>36</v>
      </c>
    </row>
    <row r="8" ht="30" customHeight="1" s="56">
      <c r="A8" s="4" t="n">
        <v>27665</v>
      </c>
      <c r="B8" s="4" t="inlineStr">
        <is>
          <t>MDM - PRAC Overview (Add Structure Screen)</t>
        </is>
      </c>
      <c r="C8" s="4" t="inlineStr">
        <is>
          <t>InProgress</t>
        </is>
      </c>
      <c r="D8" s="6" t="n">
        <v>46082</v>
      </c>
      <c r="E8" s="5" t="n">
        <v>46072</v>
      </c>
      <c r="F8" s="4" t="n"/>
      <c r="G8" s="4" t="inlineStr">
        <is>
          <t>Krishna</t>
        </is>
      </c>
      <c r="H8" s="4" t="inlineStr">
        <is>
          <t>yes</t>
        </is>
      </c>
      <c r="I8" s="4" t="n"/>
      <c r="J8" s="4" t="n"/>
      <c r="K8" s="4" t="n">
        <v>22</v>
      </c>
      <c r="L8" s="4" t="inlineStr">
        <is>
          <t>Q1-2026</t>
        </is>
      </c>
      <c r="M8" s="4" t="n"/>
    </row>
    <row r="9">
      <c r="A9" s="4" t="n">
        <v>29717</v>
      </c>
      <c r="B9" s="4" t="inlineStr">
        <is>
          <t>Supersessions not showing in EPC</t>
        </is>
      </c>
      <c r="C9" s="4" t="inlineStr">
        <is>
          <t>Closed</t>
        </is>
      </c>
      <c r="D9" s="6" t="n">
        <v>46023</v>
      </c>
      <c r="E9" s="5" t="n">
        <v>45998</v>
      </c>
      <c r="F9" s="5" t="n">
        <v>46031</v>
      </c>
      <c r="G9" s="4" t="inlineStr">
        <is>
          <t>Krishna</t>
        </is>
      </c>
      <c r="H9" s="4" t="inlineStr">
        <is>
          <t>yes</t>
        </is>
      </c>
      <c r="I9" s="4" t="inlineStr">
        <is>
          <t>yes</t>
        </is>
      </c>
      <c r="J9" s="4" t="n">
        <v>37</v>
      </c>
      <c r="K9" s="4" t="n">
        <v>27</v>
      </c>
      <c r="L9" s="4" t="inlineStr">
        <is>
          <t>Q1-2026</t>
        </is>
      </c>
      <c r="M9" s="4" t="n">
        <v>33</v>
      </c>
    </row>
    <row r="10">
      <c r="A10" s="4" t="n">
        <v>32233</v>
      </c>
      <c r="B10" s="4" t="inlineStr">
        <is>
          <t>MDM - Division not updating</t>
        </is>
      </c>
      <c r="C10" s="4" t="inlineStr">
        <is>
          <t>In Progress</t>
        </is>
      </c>
      <c r="D10" s="6" t="n">
        <v>46023</v>
      </c>
      <c r="E10" s="5" t="n">
        <v>46018</v>
      </c>
      <c r="F10" s="4" t="n"/>
      <c r="G10" s="4" t="inlineStr">
        <is>
          <t>Krishna</t>
        </is>
      </c>
      <c r="H10" s="4" t="inlineStr">
        <is>
          <t>yes</t>
        </is>
      </c>
      <c r="I10" s="4" t="inlineStr">
        <is>
          <t>yes</t>
        </is>
      </c>
      <c r="J10" s="4" t="n">
        <v>63</v>
      </c>
      <c r="K10" s="4" t="n">
        <v>15</v>
      </c>
      <c r="L10" s="4" t="inlineStr">
        <is>
          <t>Q1-2026</t>
        </is>
      </c>
      <c r="M10" s="4" t="n"/>
    </row>
    <row r="11">
      <c r="A11" s="4" t="n">
        <v>32754</v>
      </c>
      <c r="B11" s="4" t="inlineStr">
        <is>
          <t>Vin's not showing up in EPC</t>
        </is>
      </c>
      <c r="C11" s="4" t="inlineStr">
        <is>
          <t>Closed</t>
        </is>
      </c>
      <c r="D11" s="6" t="n">
        <v>46023</v>
      </c>
      <c r="E11" s="5" t="n">
        <v>46013</v>
      </c>
      <c r="F11" s="5" t="n">
        <v>46049</v>
      </c>
      <c r="G11" s="4" t="inlineStr">
        <is>
          <t>Krishna</t>
        </is>
      </c>
      <c r="H11" s="4" t="inlineStr">
        <is>
          <t>yes</t>
        </is>
      </c>
      <c r="I11" s="4" t="n"/>
      <c r="J11" s="4" t="n"/>
      <c r="K11" s="4" t="n">
        <v>21</v>
      </c>
      <c r="L11" s="4" t="inlineStr">
        <is>
          <t>Q1-2026</t>
        </is>
      </c>
      <c r="M11" s="4" t="n">
        <v>36</v>
      </c>
    </row>
    <row r="12">
      <c r="A12" s="4" t="n">
        <v>32836</v>
      </c>
      <c r="B12" s="4" t="inlineStr">
        <is>
          <t>Vin's not showing up in EPC</t>
        </is>
      </c>
      <c r="C12" s="4" t="inlineStr">
        <is>
          <t>Closed</t>
        </is>
      </c>
      <c r="D12" s="6" t="n">
        <v>46082</v>
      </c>
      <c r="E12" s="5" t="n">
        <v>46077</v>
      </c>
      <c r="F12" s="5" t="n">
        <v>46100</v>
      </c>
      <c r="G12" s="4" t="inlineStr">
        <is>
          <t>Krishna</t>
        </is>
      </c>
      <c r="H12" s="4" t="inlineStr">
        <is>
          <t>yes</t>
        </is>
      </c>
      <c r="I12" s="4" t="n"/>
      <c r="J12" s="4" t="n"/>
      <c r="K12" s="4" t="n">
        <v>17</v>
      </c>
      <c r="L12" s="4" t="inlineStr">
        <is>
          <t>Q1-2026</t>
        </is>
      </c>
      <c r="M12" s="4" t="n">
        <v>23</v>
      </c>
    </row>
    <row r="13" ht="30" customHeight="1" s="56">
      <c r="A13" s="4" t="n">
        <v>33376</v>
      </c>
      <c r="B13" s="4" t="inlineStr">
        <is>
          <t>EPC Enhancement 2 - VMRS Data in Part Search Table</t>
        </is>
      </c>
      <c r="C13" s="4" t="inlineStr">
        <is>
          <t>Closed</t>
        </is>
      </c>
      <c r="D13" s="6" t="n">
        <v>46023</v>
      </c>
      <c r="E13" s="5" t="n">
        <v>45997</v>
      </c>
      <c r="F13" s="5" t="n">
        <v>46035</v>
      </c>
      <c r="G13" s="4" t="inlineStr">
        <is>
          <t>Krishna</t>
        </is>
      </c>
      <c r="H13" s="4" t="inlineStr">
        <is>
          <t>yes</t>
        </is>
      </c>
      <c r="I13" s="4" t="inlineStr">
        <is>
          <t>yes</t>
        </is>
      </c>
      <c r="J13" s="4" t="n">
        <v>94</v>
      </c>
      <c r="K13" s="4" t="n">
        <v>36</v>
      </c>
      <c r="L13" s="4" t="inlineStr">
        <is>
          <t>Q1-2026</t>
        </is>
      </c>
      <c r="M13" s="4" t="n">
        <v>38</v>
      </c>
    </row>
    <row r="14" ht="30" customHeight="1" s="56">
      <c r="A14" s="4" t="n">
        <v>33439</v>
      </c>
      <c r="B14" s="4" t="inlineStr">
        <is>
          <t>Volvo built Autocar VINs missing (194*** &amp; 195***)</t>
        </is>
      </c>
      <c r="C14" s="4" t="inlineStr">
        <is>
          <t>Closed</t>
        </is>
      </c>
      <c r="D14" s="6" t="n">
        <v>46023</v>
      </c>
      <c r="E14" s="5" t="n">
        <v>46018</v>
      </c>
      <c r="F14" s="5" t="n">
        <v>46032</v>
      </c>
      <c r="G14" s="4" t="inlineStr">
        <is>
          <t>Krishna</t>
        </is>
      </c>
      <c r="H14" s="4" t="n"/>
      <c r="I14" s="4" t="inlineStr">
        <is>
          <t>yes</t>
        </is>
      </c>
      <c r="J14" s="4" t="n">
        <v>100</v>
      </c>
      <c r="K14" s="4" t="n"/>
      <c r="L14" s="4" t="inlineStr">
        <is>
          <t>Q1-2026</t>
        </is>
      </c>
      <c r="M14" s="4" t="n">
        <v>14</v>
      </c>
    </row>
    <row r="15">
      <c r="A15" s="4" t="n">
        <v>35062</v>
      </c>
      <c r="B15" s="4" t="inlineStr">
        <is>
          <t>EPC - Module map links are broke</t>
        </is>
      </c>
      <c r="C15" s="4" t="inlineStr">
        <is>
          <t>Closed</t>
        </is>
      </c>
      <c r="D15" s="6" t="n">
        <v>46082</v>
      </c>
      <c r="E15" s="5" t="n">
        <v>46064</v>
      </c>
      <c r="F15" s="5" t="n">
        <v>46106</v>
      </c>
      <c r="G15" s="4" t="inlineStr">
        <is>
          <t>Krishna</t>
        </is>
      </c>
      <c r="H15" s="4" t="n"/>
      <c r="I15" s="4" t="inlineStr">
        <is>
          <t>yes</t>
        </is>
      </c>
      <c r="J15" s="4" t="n">
        <v>45</v>
      </c>
      <c r="K15" s="4" t="n"/>
      <c r="L15" s="4" t="inlineStr">
        <is>
          <t>Q1-2026</t>
        </is>
      </c>
      <c r="M15" s="4" t="n">
        <v>42</v>
      </c>
    </row>
    <row r="16">
      <c r="A16" s="4" t="n">
        <v>32776</v>
      </c>
      <c r="B16" s="4" t="inlineStr">
        <is>
          <t>Vin's not showing up in EPC</t>
        </is>
      </c>
      <c r="C16" s="4" t="inlineStr">
        <is>
          <t>Closed</t>
        </is>
      </c>
      <c r="D16" s="6" t="n">
        <v>46174</v>
      </c>
      <c r="E16" s="5" t="n">
        <v>46162</v>
      </c>
      <c r="F16" s="5" t="n">
        <v>46183</v>
      </c>
      <c r="G16" s="4" t="inlineStr">
        <is>
          <t>Krishna</t>
        </is>
      </c>
      <c r="H16" s="4" t="inlineStr">
        <is>
          <t>yes</t>
        </is>
      </c>
      <c r="I16" s="4" t="n"/>
      <c r="J16" s="4" t="n"/>
      <c r="K16" s="4" t="n">
        <v>19</v>
      </c>
      <c r="L16" s="4" t="inlineStr">
        <is>
          <t>Q2-2026</t>
        </is>
      </c>
      <c r="M16" s="4" t="n">
        <v>21</v>
      </c>
    </row>
    <row r="17" ht="30" customHeight="1" s="56">
      <c r="A17" s="4" t="n">
        <v>33585</v>
      </c>
      <c r="B17" s="4" t="inlineStr">
        <is>
          <t>EPC - A2390062-001 wrong 3D image in EPC</t>
        </is>
      </c>
      <c r="C17" s="4" t="inlineStr">
        <is>
          <t>Closed</t>
        </is>
      </c>
      <c r="D17" s="6" t="n">
        <v>46143</v>
      </c>
      <c r="E17" s="5" t="n">
        <v>46119</v>
      </c>
      <c r="F17" s="5" t="n">
        <v>46149</v>
      </c>
      <c r="G17" s="4" t="inlineStr">
        <is>
          <t>Krishna</t>
        </is>
      </c>
      <c r="H17" s="4" t="n"/>
      <c r="I17" s="4" t="inlineStr">
        <is>
          <t>yes</t>
        </is>
      </c>
      <c r="J17" s="4" t="n">
        <v>60</v>
      </c>
      <c r="K17" s="4" t="n"/>
      <c r="L17" s="4" t="inlineStr">
        <is>
          <t>Q2-2026</t>
        </is>
      </c>
      <c r="M17" s="4" t="n">
        <v>30</v>
      </c>
    </row>
    <row r="18" ht="30.75" customHeight="1" s="56">
      <c r="A18" s="4" t="n">
        <v>35023</v>
      </c>
      <c r="B18" s="4" t="inlineStr">
        <is>
          <t>MDM - Updated Classification of Attached Parts List</t>
        </is>
      </c>
      <c r="C18" s="4" t="inlineStr">
        <is>
          <t>Closed</t>
        </is>
      </c>
      <c r="D18" s="6" t="n">
        <v>46143</v>
      </c>
      <c r="E18" s="5" t="n">
        <v>46117</v>
      </c>
      <c r="F18" s="5" t="n">
        <v>46155</v>
      </c>
      <c r="G18" s="4" t="inlineStr">
        <is>
          <t>Krishna</t>
        </is>
      </c>
      <c r="H18" s="4" t="inlineStr">
        <is>
          <t>yes</t>
        </is>
      </c>
      <c r="I18" s="4" t="n"/>
      <c r="J18" s="4" t="n"/>
      <c r="K18" s="4" t="n">
        <v>25</v>
      </c>
      <c r="L18" s="4" t="inlineStr">
        <is>
          <t>Q2-2026</t>
        </is>
      </c>
      <c r="M18" s="4" t="n">
        <v>38</v>
      </c>
    </row>
    <row r="19" ht="30" customHeight="1" s="56">
      <c r="A19" s="4" t="n">
        <v>35275</v>
      </c>
      <c r="B19" s="4" t="inlineStr">
        <is>
          <t>MDM/EPC - Verify that back flush is working correct</t>
        </is>
      </c>
      <c r="C19" s="4" t="inlineStr">
        <is>
          <t>In Progress</t>
        </is>
      </c>
      <c r="D19" s="6" t="n">
        <v>46143</v>
      </c>
      <c r="E19" s="5" t="n">
        <v>46123</v>
      </c>
      <c r="F19" s="4" t="n"/>
      <c r="G19" s="4" t="inlineStr">
        <is>
          <t>Krishna</t>
        </is>
      </c>
      <c r="H19" s="4" t="inlineStr">
        <is>
          <t>yes</t>
        </is>
      </c>
      <c r="I19" s="4" t="inlineStr">
        <is>
          <t>yes</t>
        </is>
      </c>
      <c r="J19" s="4" t="n">
        <v>58</v>
      </c>
      <c r="K19" s="4" t="n">
        <v>20</v>
      </c>
      <c r="L19" s="4" t="inlineStr">
        <is>
          <t>Q2-2026</t>
        </is>
      </c>
      <c r="M19" s="4" t="n"/>
    </row>
    <row r="20">
      <c r="A20" s="4" t="n">
        <v>35340</v>
      </c>
      <c r="B20" s="4" t="inlineStr">
        <is>
          <t>Vin. 227848 not showing up in EPC</t>
        </is>
      </c>
      <c r="C20" s="4" t="inlineStr">
        <is>
          <t>Closed</t>
        </is>
      </c>
      <c r="D20" s="6" t="n">
        <v>46174</v>
      </c>
      <c r="E20" s="5" t="n">
        <v>46161</v>
      </c>
      <c r="F20" s="5" t="n">
        <v>46199</v>
      </c>
      <c r="G20" s="4" t="inlineStr">
        <is>
          <t>Krishna</t>
        </is>
      </c>
      <c r="H20" s="4" t="inlineStr">
        <is>
          <t>yes</t>
        </is>
      </c>
      <c r="I20" s="4" t="n"/>
      <c r="J20" s="4" t="n"/>
      <c r="K20" s="4" t="n">
        <v>25</v>
      </c>
      <c r="L20" s="4" t="inlineStr">
        <is>
          <t>Q2-2026</t>
        </is>
      </c>
      <c r="M20" s="4" t="n">
        <v>38</v>
      </c>
    </row>
    <row r="21" ht="30" customHeight="1" s="56">
      <c r="A21" s="4" t="n">
        <v>35609</v>
      </c>
      <c r="B21" s="4" t="inlineStr">
        <is>
          <t>Replaced by part numbers in EPC are no longer displaying</t>
        </is>
      </c>
      <c r="C21" s="4" t="inlineStr">
        <is>
          <t>Closed</t>
        </is>
      </c>
      <c r="D21" s="6" t="n">
        <v>46143</v>
      </c>
      <c r="E21" s="5" t="n">
        <v>46123</v>
      </c>
      <c r="F21" s="5" t="n">
        <v>46146</v>
      </c>
      <c r="G21" s="4" t="inlineStr">
        <is>
          <t>Krishna</t>
        </is>
      </c>
      <c r="H21" s="4" t="n"/>
      <c r="I21" s="4" t="inlineStr">
        <is>
          <t>yes</t>
        </is>
      </c>
      <c r="J21" s="4" t="n">
        <v>96</v>
      </c>
      <c r="K21" s="4" t="n"/>
      <c r="L21" s="4" t="inlineStr">
        <is>
          <t>Q2-2026</t>
        </is>
      </c>
      <c r="M21" s="4" t="n">
        <v>23</v>
      </c>
    </row>
    <row r="22">
      <c r="A22" s="4" t="n">
        <v>35692</v>
      </c>
      <c r="B22" s="4" t="inlineStr">
        <is>
          <t>EPC - A2390062-001 3D image</t>
        </is>
      </c>
      <c r="C22" s="4" t="inlineStr">
        <is>
          <t>Closed</t>
        </is>
      </c>
      <c r="D22" s="6" t="n">
        <v>46143</v>
      </c>
      <c r="E22" s="5" t="n">
        <v>46129</v>
      </c>
      <c r="F22" s="5" t="n">
        <v>46171</v>
      </c>
      <c r="G22" s="4" t="inlineStr">
        <is>
          <t>Krishna</t>
        </is>
      </c>
      <c r="H22" s="4" t="n"/>
      <c r="I22" s="4" t="inlineStr">
        <is>
          <t>yes</t>
        </is>
      </c>
      <c r="J22" s="4" t="n">
        <v>65</v>
      </c>
      <c r="K22" s="4" t="n"/>
      <c r="L22" s="4" t="inlineStr">
        <is>
          <t>Q2-2026</t>
        </is>
      </c>
      <c r="M22" s="4" t="n">
        <v>42</v>
      </c>
    </row>
    <row r="23" ht="30" customHeight="1" s="56">
      <c r="A23" s="4" t="n">
        <v>35860</v>
      </c>
      <c r="B23" s="4" t="inlineStr">
        <is>
          <t>EPC customer unable to add items to cart</t>
        </is>
      </c>
      <c r="C23" s="4" t="inlineStr">
        <is>
          <t>Closed</t>
        </is>
      </c>
      <c r="D23" s="6" t="n">
        <v>46143</v>
      </c>
      <c r="E23" s="5" t="n">
        <v>46122</v>
      </c>
      <c r="F23" s="5" t="n">
        <v>46152</v>
      </c>
      <c r="G23" s="4" t="inlineStr">
        <is>
          <t>Krishna</t>
        </is>
      </c>
      <c r="H23" s="4" t="inlineStr">
        <is>
          <t>yes</t>
        </is>
      </c>
      <c r="I23" s="4" t="n"/>
      <c r="J23" s="4" t="n"/>
      <c r="K23" s="4" t="n">
        <v>22</v>
      </c>
      <c r="L23" s="4" t="inlineStr">
        <is>
          <t>Q2-2026</t>
        </is>
      </c>
      <c r="M23" s="4" t="n">
        <v>30</v>
      </c>
    </row>
    <row r="24">
      <c r="A24" s="4" t="n">
        <v>36707</v>
      </c>
      <c r="B24" s="4" t="inlineStr">
        <is>
          <t>Vin. 252789 not showing up in EPC</t>
        </is>
      </c>
      <c r="C24" s="4" t="inlineStr">
        <is>
          <t>Closed</t>
        </is>
      </c>
      <c r="D24" s="6" t="n">
        <v>46174</v>
      </c>
      <c r="E24" s="5" t="n">
        <v>46150</v>
      </c>
      <c r="F24" s="5" t="n">
        <v>46186</v>
      </c>
      <c r="G24" s="4" t="inlineStr">
        <is>
          <t>Krishna</t>
        </is>
      </c>
      <c r="H24" s="4" t="n"/>
      <c r="I24" s="4" t="inlineStr">
        <is>
          <t>yes</t>
        </is>
      </c>
      <c r="J24" s="4" t="n">
        <v>46</v>
      </c>
      <c r="K24" s="4" t="n"/>
      <c r="L24" s="4" t="inlineStr">
        <is>
          <t>Q2-2026</t>
        </is>
      </c>
      <c r="M24" s="4" t="n">
        <v>36</v>
      </c>
    </row>
    <row r="25" ht="30" customHeight="1" s="56">
      <c r="A25" s="4" t="n">
        <v>37105</v>
      </c>
      <c r="B25" s="4" t="inlineStr">
        <is>
          <t>Accounting issue with setting up a customer in the system - MDM</t>
        </is>
      </c>
      <c r="C25" s="4" t="inlineStr">
        <is>
          <t>Closed</t>
        </is>
      </c>
      <c r="D25" s="6" t="n">
        <v>46174</v>
      </c>
      <c r="E25" s="5" t="n">
        <v>46155</v>
      </c>
      <c r="F25" s="5" t="n">
        <v>46199</v>
      </c>
      <c r="G25" s="4" t="inlineStr">
        <is>
          <t>Krishna</t>
        </is>
      </c>
      <c r="H25" s="4" t="n"/>
      <c r="I25" s="4" t="inlineStr">
        <is>
          <t>yes</t>
        </is>
      </c>
      <c r="J25" s="4" t="n">
        <v>66</v>
      </c>
      <c r="K25" s="4" t="n"/>
      <c r="L25" s="4" t="inlineStr">
        <is>
          <t>Q2-2026</t>
        </is>
      </c>
      <c r="M25" s="4" t="n">
        <v>44</v>
      </c>
    </row>
    <row r="26">
      <c r="A26" s="4" t="n">
        <v>37321</v>
      </c>
      <c r="B26" s="4" t="inlineStr">
        <is>
          <t>239002 VIN. not showing up in EPC</t>
        </is>
      </c>
      <c r="C26" s="4" t="inlineStr">
        <is>
          <t>Closed</t>
        </is>
      </c>
      <c r="D26" s="6" t="n">
        <v>46174</v>
      </c>
      <c r="E26" s="5" t="n">
        <v>46146</v>
      </c>
      <c r="F26" s="5" t="n">
        <v>46191</v>
      </c>
      <c r="G26" s="4" t="inlineStr">
        <is>
          <t>Krishna</t>
        </is>
      </c>
      <c r="H26" s="4" t="inlineStr">
        <is>
          <t>yes</t>
        </is>
      </c>
      <c r="I26" s="4" t="inlineStr">
        <is>
          <t>yes</t>
        </is>
      </c>
      <c r="J26" s="4" t="n">
        <v>34</v>
      </c>
      <c r="K26" s="4" t="n">
        <v>23</v>
      </c>
      <c r="L26" s="4" t="inlineStr">
        <is>
          <t>Q2-2026</t>
        </is>
      </c>
      <c r="M26" s="4" t="n">
        <v>45</v>
      </c>
    </row>
    <row r="27">
      <c r="A27" s="4" t="n">
        <v>38045</v>
      </c>
      <c r="B27" s="4" t="inlineStr">
        <is>
          <t>EPC - Not showing the NetSuite stock</t>
        </is>
      </c>
      <c r="C27" s="4" t="inlineStr">
        <is>
          <t>Closed</t>
        </is>
      </c>
      <c r="D27" s="6" t="n">
        <v>46174</v>
      </c>
      <c r="E27" s="5" t="n">
        <v>46145</v>
      </c>
      <c r="F27" s="5" t="n">
        <v>46179</v>
      </c>
      <c r="G27" s="4" t="inlineStr">
        <is>
          <t>Krishna</t>
        </is>
      </c>
      <c r="H27" s="4" t="inlineStr">
        <is>
          <t>yes</t>
        </is>
      </c>
      <c r="I27" s="4" t="inlineStr">
        <is>
          <t>yes</t>
        </is>
      </c>
      <c r="J27" s="4" t="n">
        <v>38</v>
      </c>
      <c r="K27" s="4" t="n">
        <v>35</v>
      </c>
      <c r="L27" s="4" t="inlineStr">
        <is>
          <t>Q2-2026</t>
        </is>
      </c>
      <c r="M27" s="4" t="n">
        <v>34</v>
      </c>
    </row>
    <row r="28">
      <c r="A28" s="4" t="n">
        <v>38288</v>
      </c>
      <c r="B28" s="4" t="inlineStr">
        <is>
          <t>A7636002E011 not showing in EPC</t>
        </is>
      </c>
      <c r="C28" s="4" t="inlineStr">
        <is>
          <t>Closed</t>
        </is>
      </c>
      <c r="D28" s="6" t="n">
        <v>46174</v>
      </c>
      <c r="E28" s="5" t="n">
        <v>46161</v>
      </c>
      <c r="F28" s="5" t="n">
        <v>46192</v>
      </c>
      <c r="G28" s="4" t="inlineStr">
        <is>
          <t>Krishna</t>
        </is>
      </c>
      <c r="H28" s="4" t="inlineStr">
        <is>
          <t>yes</t>
        </is>
      </c>
      <c r="I28" s="4" t="n"/>
      <c r="J28" s="4" t="n"/>
      <c r="K28" s="4" t="n">
        <v>22</v>
      </c>
      <c r="L28" s="4" t="inlineStr">
        <is>
          <t>Q2-2026</t>
        </is>
      </c>
      <c r="M28" s="4" t="n">
        <v>31</v>
      </c>
    </row>
    <row r="29" ht="30" customHeight="1" s="56">
      <c r="A29" s="4" t="n">
        <v>38325</v>
      </c>
      <c r="B29" s="4" t="inlineStr">
        <is>
          <t>Implement Microsoft Clarity on the EPC portal</t>
        </is>
      </c>
      <c r="C29" s="4" t="inlineStr">
        <is>
          <t>Closed</t>
        </is>
      </c>
      <c r="D29" s="6" t="n">
        <v>46174</v>
      </c>
      <c r="E29" s="5" t="n">
        <v>46162</v>
      </c>
      <c r="F29" s="5" t="n">
        <v>46192</v>
      </c>
      <c r="G29" s="4" t="inlineStr">
        <is>
          <t>Krishna</t>
        </is>
      </c>
      <c r="H29" s="4" t="inlineStr">
        <is>
          <t>yes</t>
        </is>
      </c>
      <c r="I29" s="4" t="n"/>
      <c r="J29" s="4" t="n"/>
      <c r="K29" s="4" t="n">
        <v>22</v>
      </c>
      <c r="L29" s="4" t="inlineStr">
        <is>
          <t>Q2-2026</t>
        </is>
      </c>
      <c r="M29" s="4" t="n">
        <v>30</v>
      </c>
    </row>
    <row r="30" ht="30" customHeight="1" s="56">
      <c r="A30" s="4" t="n">
        <v>38355</v>
      </c>
      <c r="B30" s="4" t="inlineStr">
        <is>
          <t>Get blank screen when clicking on Replaced by # in QAD</t>
        </is>
      </c>
      <c r="C30" s="4" t="inlineStr">
        <is>
          <t>Closed</t>
        </is>
      </c>
      <c r="D30" s="6" t="n">
        <v>46174</v>
      </c>
      <c r="E30" s="5" t="n">
        <v>46151</v>
      </c>
      <c r="F30" s="5" t="n">
        <v>46191</v>
      </c>
      <c r="G30" s="4" t="inlineStr">
        <is>
          <t>Krishna</t>
        </is>
      </c>
      <c r="H30" s="4" t="inlineStr">
        <is>
          <t>yes</t>
        </is>
      </c>
      <c r="I30" s="4" t="inlineStr">
        <is>
          <t>yes</t>
        </is>
      </c>
      <c r="J30" s="4" t="n">
        <v>50</v>
      </c>
      <c r="K30" s="4" t="n">
        <v>30</v>
      </c>
      <c r="L30" s="4" t="inlineStr">
        <is>
          <t>Q2-2026</t>
        </is>
      </c>
      <c r="M30" s="4" t="n">
        <v>40</v>
      </c>
    </row>
    <row r="31">
      <c r="A31" s="4" t="n">
        <v>39016</v>
      </c>
      <c r="B31" s="4" t="inlineStr">
        <is>
          <t>MDM - Saving part with NA</t>
        </is>
      </c>
      <c r="C31" s="4" t="inlineStr">
        <is>
          <t>Closed</t>
        </is>
      </c>
      <c r="D31" s="6" t="n">
        <v>46174</v>
      </c>
      <c r="E31" s="5" t="n">
        <v>46156</v>
      </c>
      <c r="F31" s="5" t="n">
        <v>46196</v>
      </c>
      <c r="G31" s="4" t="inlineStr">
        <is>
          <t>Krishna</t>
        </is>
      </c>
      <c r="H31" s="4" t="n"/>
      <c r="I31" s="4" t="inlineStr">
        <is>
          <t>yes</t>
        </is>
      </c>
      <c r="J31" s="4" t="n">
        <v>92</v>
      </c>
      <c r="K31" s="4" t="n"/>
      <c r="L31" s="4" t="inlineStr">
        <is>
          <t>Q2-2026</t>
        </is>
      </c>
      <c r="M31" s="4" t="n">
        <v>40</v>
      </c>
    </row>
    <row r="32">
      <c r="A32" s="4" t="n">
        <v>39212</v>
      </c>
      <c r="B32" s="4" t="inlineStr">
        <is>
          <t>BOM classifications</t>
        </is>
      </c>
      <c r="C32" s="4" t="inlineStr">
        <is>
          <t>Closed</t>
        </is>
      </c>
      <c r="D32" s="6" t="n">
        <v>46143</v>
      </c>
      <c r="E32" s="5" t="n">
        <v>46126</v>
      </c>
      <c r="F32" s="5" t="n">
        <v>46165</v>
      </c>
      <c r="G32" s="4" t="inlineStr">
        <is>
          <t>Krishna</t>
        </is>
      </c>
      <c r="H32" s="4" t="n"/>
      <c r="I32" s="4" t="inlineStr">
        <is>
          <t>yes</t>
        </is>
      </c>
      <c r="J32" s="4" t="n">
        <v>89</v>
      </c>
      <c r="K32" s="4" t="n"/>
      <c r="L32" s="4" t="inlineStr">
        <is>
          <t>Q2-2026</t>
        </is>
      </c>
      <c r="M32" s="4" t="n">
        <v>39</v>
      </c>
    </row>
    <row r="33" ht="30" customHeight="1" s="56">
      <c r="A33" s="4" t="n">
        <v>41075</v>
      </c>
      <c r="B33" s="4" t="inlineStr">
        <is>
          <t>Autocar EPC - VMRS Search Functionality Rollout</t>
        </is>
      </c>
      <c r="C33" s="4" t="inlineStr">
        <is>
          <t>Closed</t>
        </is>
      </c>
      <c r="D33" s="6" t="n">
        <v>46174</v>
      </c>
      <c r="E33" s="5" t="n">
        <v>46152</v>
      </c>
      <c r="F33" s="5" t="n">
        <v>46183</v>
      </c>
      <c r="G33" s="4" t="inlineStr">
        <is>
          <t>Krishna</t>
        </is>
      </c>
      <c r="H33" s="4" t="inlineStr">
        <is>
          <t>yes</t>
        </is>
      </c>
      <c r="I33" s="4" t="n"/>
      <c r="J33" s="4" t="n"/>
      <c r="K33" s="4" t="n">
        <v>44</v>
      </c>
      <c r="L33" s="4" t="inlineStr">
        <is>
          <t>Q2-2026</t>
        </is>
      </c>
      <c r="M33" s="4" t="n">
        <v>31</v>
      </c>
    </row>
    <row r="34">
      <c r="A34" s="4" t="n">
        <v>41559</v>
      </c>
      <c r="B34" s="4" t="inlineStr">
        <is>
          <t>Overwrite Images on EPC Website</t>
        </is>
      </c>
      <c r="C34" s="4" t="inlineStr">
        <is>
          <t>Closed</t>
        </is>
      </c>
      <c r="D34" s="6" t="n">
        <v>46174</v>
      </c>
      <c r="E34" s="5" t="n">
        <v>46163</v>
      </c>
      <c r="F34" s="5" t="n">
        <v>46183</v>
      </c>
      <c r="G34" s="4" t="inlineStr">
        <is>
          <t>Krishna</t>
        </is>
      </c>
      <c r="H34" s="4" t="n"/>
      <c r="I34" s="4" t="inlineStr">
        <is>
          <t>yes</t>
        </is>
      </c>
      <c r="J34" s="4" t="n">
        <v>96</v>
      </c>
      <c r="K34" s="4" t="n"/>
      <c r="L34" s="4" t="inlineStr">
        <is>
          <t>Q2-2026</t>
        </is>
      </c>
      <c r="M34" s="4" t="n">
        <v>20</v>
      </c>
    </row>
    <row r="35">
      <c r="A35" s="4" t="n">
        <v>41725</v>
      </c>
      <c r="B35" s="4" t="inlineStr">
        <is>
          <t>MDM - No longer receiving emails</t>
        </is>
      </c>
      <c r="C35" s="4" t="inlineStr">
        <is>
          <t>Closed</t>
        </is>
      </c>
      <c r="D35" s="6" t="n">
        <v>46174</v>
      </c>
      <c r="E35" s="5" t="n">
        <v>46156</v>
      </c>
      <c r="F35" s="5" t="n">
        <v>46180</v>
      </c>
      <c r="G35" s="4" t="inlineStr">
        <is>
          <t>Krishna</t>
        </is>
      </c>
      <c r="H35" s="4" t="inlineStr">
        <is>
          <t>yes</t>
        </is>
      </c>
      <c r="I35" s="4" t="n"/>
      <c r="J35" s="4" t="n"/>
      <c r="K35" s="4" t="n">
        <v>31</v>
      </c>
      <c r="L35" s="4" t="inlineStr">
        <is>
          <t>Q2-2026</t>
        </is>
      </c>
      <c r="M35" s="4" t="n">
        <v>24</v>
      </c>
    </row>
    <row r="36">
      <c r="A36" s="4" t="n">
        <v>32233</v>
      </c>
      <c r="B36" s="4" t="inlineStr">
        <is>
          <t>MDM - Division not updating</t>
        </is>
      </c>
      <c r="C36" s="4" t="inlineStr">
        <is>
          <t>Closed</t>
        </is>
      </c>
      <c r="D36" s="6" t="n">
        <v>46204</v>
      </c>
      <c r="E36" s="5" t="n">
        <v>46187</v>
      </c>
      <c r="F36" s="5" t="n">
        <v>46227</v>
      </c>
      <c r="G36" s="4" t="inlineStr">
        <is>
          <t>Krishna</t>
        </is>
      </c>
      <c r="H36" s="4" t="n"/>
      <c r="I36" s="4" t="inlineStr">
        <is>
          <t>yes</t>
        </is>
      </c>
      <c r="J36" s="4" t="n">
        <v>43</v>
      </c>
      <c r="K36" s="4" t="n"/>
      <c r="L36" s="4" t="inlineStr">
        <is>
          <t>Q3-2026</t>
        </is>
      </c>
      <c r="M36" s="4" t="n">
        <v>40</v>
      </c>
    </row>
    <row r="37">
      <c r="A37" s="4" t="n">
        <v>42428</v>
      </c>
      <c r="B37" s="4" t="inlineStr">
        <is>
          <t>Update EPC website Parts List</t>
        </is>
      </c>
      <c r="C37" s="4" t="inlineStr">
        <is>
          <t>Closed</t>
        </is>
      </c>
      <c r="D37" s="6" t="n">
        <v>46204</v>
      </c>
      <c r="E37" s="5" t="n">
        <v>46180</v>
      </c>
      <c r="F37" s="5" t="n">
        <v>46219</v>
      </c>
      <c r="G37" s="4" t="inlineStr">
        <is>
          <t>Krishna</t>
        </is>
      </c>
      <c r="H37" s="4" t="n"/>
      <c r="I37" s="4" t="inlineStr">
        <is>
          <t>yes</t>
        </is>
      </c>
      <c r="J37" s="4" t="n">
        <v>77</v>
      </c>
      <c r="K37" s="4" t="n"/>
      <c r="L37" s="4" t="inlineStr">
        <is>
          <t>Q3-2026</t>
        </is>
      </c>
      <c r="M37" s="4" t="n">
        <v>39</v>
      </c>
    </row>
    <row r="38" ht="30" customHeight="1" s="56">
      <c r="A38" s="4" t="n">
        <v>42621</v>
      </c>
      <c r="B38" s="4" t="inlineStr">
        <is>
          <t>A3T12001E044 EPC website Part Discrepancy</t>
        </is>
      </c>
      <c r="C38" s="4" t="inlineStr">
        <is>
          <t>Closed</t>
        </is>
      </c>
      <c r="D38" s="6" t="n">
        <v>46204</v>
      </c>
      <c r="E38" s="5" t="n">
        <v>46195</v>
      </c>
      <c r="F38" s="5" t="n">
        <v>46229</v>
      </c>
      <c r="G38" s="4" t="inlineStr">
        <is>
          <t>Krishna</t>
        </is>
      </c>
      <c r="H38" s="4" t="n"/>
      <c r="I38" s="4" t="inlineStr">
        <is>
          <t>yes</t>
        </is>
      </c>
      <c r="J38" s="4" t="n">
        <v>36</v>
      </c>
      <c r="K38" s="4" t="n"/>
      <c r="L38" s="4" t="inlineStr">
        <is>
          <t>Q3-2026</t>
        </is>
      </c>
      <c r="M38" s="4" t="n">
        <v>34</v>
      </c>
    </row>
    <row r="39">
      <c r="A39" s="4" t="n">
        <v>21832</v>
      </c>
      <c r="B39" s="4" t="inlineStr">
        <is>
          <t>BOMs to Service add date</t>
        </is>
      </c>
      <c r="C39" s="4" t="inlineStr">
        <is>
          <t>Closed</t>
        </is>
      </c>
      <c r="D39" s="6" t="n">
        <v>45992</v>
      </c>
      <c r="E39" s="5" t="n">
        <v>45977</v>
      </c>
      <c r="F39" s="5" t="n">
        <v>46006</v>
      </c>
      <c r="G39" s="4" t="inlineStr">
        <is>
          <t>Krishna</t>
        </is>
      </c>
      <c r="H39" s="4" t="inlineStr">
        <is>
          <t>yes</t>
        </is>
      </c>
      <c r="I39" s="4" t="inlineStr">
        <is>
          <t>yes</t>
        </is>
      </c>
      <c r="J39" s="4" t="n">
        <v>72</v>
      </c>
      <c r="K39" s="4" t="n">
        <v>22</v>
      </c>
      <c r="L39" s="4" t="inlineStr">
        <is>
          <t>Q4-2025</t>
        </is>
      </c>
      <c r="M39" s="4" t="n">
        <v>29</v>
      </c>
    </row>
    <row r="40">
      <c r="A40" s="4" t="n">
        <v>28027</v>
      </c>
      <c r="B40" s="4" t="inlineStr">
        <is>
          <t>Is Serviced Toggle</t>
        </is>
      </c>
      <c r="C40" s="4" t="inlineStr">
        <is>
          <t>Closed</t>
        </is>
      </c>
      <c r="D40" s="6" t="n">
        <v>45992</v>
      </c>
      <c r="E40" s="5" t="n">
        <v>45971</v>
      </c>
      <c r="F40" s="5" t="n">
        <v>46020</v>
      </c>
      <c r="G40" s="4" t="inlineStr">
        <is>
          <t>Krishna</t>
        </is>
      </c>
      <c r="H40" s="4" t="n"/>
      <c r="I40" s="4" t="inlineStr">
        <is>
          <t>yes</t>
        </is>
      </c>
      <c r="J40" s="4" t="n">
        <v>58</v>
      </c>
      <c r="K40" s="4" t="n"/>
      <c r="L40" s="4" t="inlineStr">
        <is>
          <t>Q4-2025</t>
        </is>
      </c>
      <c r="M40" s="4" t="n">
        <v>49</v>
      </c>
    </row>
    <row r="41">
      <c r="A41" s="4" t="n">
        <v>28303</v>
      </c>
      <c r="B41" s="4" t="inlineStr">
        <is>
          <t>KIT S1209010K001</t>
        </is>
      </c>
      <c r="C41" s="4" t="inlineStr">
        <is>
          <t>Closed</t>
        </is>
      </c>
      <c r="D41" s="6" t="n">
        <v>45962</v>
      </c>
      <c r="E41" s="5" t="n">
        <v>45946</v>
      </c>
      <c r="F41" s="5" t="n">
        <v>45972</v>
      </c>
      <c r="G41" s="4" t="inlineStr">
        <is>
          <t>Krishna</t>
        </is>
      </c>
      <c r="H41" s="4" t="n"/>
      <c r="I41" s="4" t="inlineStr">
        <is>
          <t>yes</t>
        </is>
      </c>
      <c r="J41" s="4" t="n">
        <v>31</v>
      </c>
      <c r="K41" s="4" t="n"/>
      <c r="L41" s="4" t="inlineStr">
        <is>
          <t>Q4-2025</t>
        </is>
      </c>
      <c r="M41" s="4" t="n">
        <v>26</v>
      </c>
    </row>
    <row r="42">
      <c r="A42" s="4" t="n">
        <v>29130</v>
      </c>
      <c r="B42" s="4" t="inlineStr">
        <is>
          <t>Showing non-invoiced VINs</t>
        </is>
      </c>
      <c r="C42" s="4" t="inlineStr">
        <is>
          <t>Closed</t>
        </is>
      </c>
      <c r="D42" s="6" t="n">
        <v>45931</v>
      </c>
      <c r="E42" s="5" t="n">
        <v>45911</v>
      </c>
      <c r="F42" s="5" t="n">
        <v>45952</v>
      </c>
      <c r="G42" s="4" t="inlineStr">
        <is>
          <t>Krishna</t>
        </is>
      </c>
      <c r="H42" s="4" t="n"/>
      <c r="I42" s="4" t="inlineStr">
        <is>
          <t>yes</t>
        </is>
      </c>
      <c r="J42" s="4" t="n">
        <v>91</v>
      </c>
      <c r="K42" s="4" t="n"/>
      <c r="L42" s="4" t="inlineStr">
        <is>
          <t>Q4-2025</t>
        </is>
      </c>
      <c r="M42" s="4" t="n">
        <v>41</v>
      </c>
    </row>
    <row r="43" ht="30" customHeight="1" s="56">
      <c r="A43" s="4" t="n">
        <v>30304</v>
      </c>
      <c r="B43" s="4" t="inlineStr">
        <is>
          <t>A3885000E049 &amp; A7352001E129 EPC Part List discrepancies</t>
        </is>
      </c>
      <c r="C43" s="4" t="inlineStr">
        <is>
          <t>Closed</t>
        </is>
      </c>
      <c r="D43" s="6" t="n">
        <v>45962</v>
      </c>
      <c r="E43" s="5" t="n">
        <v>45959</v>
      </c>
      <c r="F43" s="5" t="n">
        <v>45980</v>
      </c>
      <c r="G43" s="4" t="inlineStr">
        <is>
          <t>Krishna</t>
        </is>
      </c>
      <c r="H43" s="4" t="inlineStr">
        <is>
          <t>yes</t>
        </is>
      </c>
      <c r="I43" s="4" t="n"/>
      <c r="J43" s="4" t="n"/>
      <c r="K43" s="4" t="n">
        <v>36</v>
      </c>
      <c r="L43" s="4" t="inlineStr">
        <is>
          <t>Q4-2025</t>
        </is>
      </c>
      <c r="M43" s="4" t="n">
        <v>21</v>
      </c>
    </row>
    <row r="44" ht="30" customHeight="1" s="56">
      <c r="A44" s="4" t="n">
        <v>30840</v>
      </c>
      <c r="B44" s="4" t="inlineStr">
        <is>
          <t>A3892002E067 EPC Part List discrepancy</t>
        </is>
      </c>
      <c r="C44" s="4" t="inlineStr">
        <is>
          <t>Closed</t>
        </is>
      </c>
      <c r="D44" s="6" t="n">
        <v>45962</v>
      </c>
      <c r="E44" s="5" t="n">
        <v>45940</v>
      </c>
      <c r="F44" s="5" t="n">
        <v>45974</v>
      </c>
      <c r="G44" s="4" t="inlineStr">
        <is>
          <t>Krishna</t>
        </is>
      </c>
      <c r="H44" s="4" t="inlineStr">
        <is>
          <t>yes</t>
        </is>
      </c>
      <c r="I44" s="4" t="n"/>
      <c r="J44" s="4" t="n"/>
      <c r="K44" s="4" t="n">
        <v>41</v>
      </c>
      <c r="L44" s="4" t="inlineStr">
        <is>
          <t>Q4-2025</t>
        </is>
      </c>
      <c r="M44" s="4" t="n">
        <v>34</v>
      </c>
    </row>
    <row r="45">
      <c r="A45" s="4" t="n">
        <v>32777</v>
      </c>
      <c r="B45" s="4" t="inlineStr">
        <is>
          <t>Vin's not showing up in EPC</t>
        </is>
      </c>
      <c r="C45" s="4" t="inlineStr">
        <is>
          <t>Closed</t>
        </is>
      </c>
      <c r="D45" s="6" t="n">
        <v>45992</v>
      </c>
      <c r="E45" s="5" t="n">
        <v>45989</v>
      </c>
      <c r="F45" s="5" t="n">
        <v>46020</v>
      </c>
      <c r="G45" s="4" t="inlineStr">
        <is>
          <t>Krishna</t>
        </is>
      </c>
      <c r="H45" s="4" t="inlineStr">
        <is>
          <t>yes</t>
        </is>
      </c>
      <c r="I45" s="4" t="n"/>
      <c r="J45" s="4" t="n"/>
      <c r="K45" s="4" t="n">
        <v>29</v>
      </c>
      <c r="L45" s="4" t="inlineStr">
        <is>
          <t>Q4-2025</t>
        </is>
      </c>
      <c r="M45" s="4" t="n">
        <v>31</v>
      </c>
    </row>
  </sheetData>
  <hyperlinks>
    <hyperlink ref="A1" location="Krishna_OKR_Checklist!A1" display="Krishna_OKR_Checklist!A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36" customWidth="1" style="56" min="1" max="1"/>
    <col width="26" customWidth="1" style="56" min="2" max="2"/>
    <col width="12" customWidth="1" style="56" min="3" max="4"/>
    <col width="13" customWidth="1" style="56" min="5" max="5"/>
    <col width="14" customWidth="1" style="56" min="6" max="6"/>
    <col width="12" customWidth="1" style="56" min="7" max="8"/>
    <col width="13" customWidth="1" style="56" min="9" max="9"/>
    <col width="20" customWidth="1" style="56" min="10" max="10"/>
    <col width="19" customWidth="1" style="56" min="11" max="11"/>
    <col width="12" customWidth="1" style="56" min="12" max="13"/>
  </cols>
  <sheetData>
    <row r="1">
      <c r="A1" s="49" t="inlineStr">
        <is>
          <t>Krishna_OKR_Checklist!A1</t>
        </is>
      </c>
      <c r="B1" s="18" t="n"/>
    </row>
    <row r="3" ht="17.25" customHeight="1" s="56">
      <c r="A3" s="39" t="inlineStr">
        <is>
          <t>Q3-2025 — ticket evidence pack (from Tickets_Master_Krishna)</t>
        </is>
      </c>
    </row>
    <row r="4">
      <c r="A4" s="57" t="inlineStr">
        <is>
          <t>No tickets in this quarter for this person.</t>
        </is>
      </c>
    </row>
    <row r="6">
      <c r="A6" s="30" t="inlineStr">
        <is>
          <t>Ticket No.</t>
        </is>
      </c>
      <c r="B6" s="30" t="inlineStr">
        <is>
          <t>Description</t>
        </is>
      </c>
      <c r="C6" s="30" t="inlineStr">
        <is>
          <t>Status</t>
        </is>
      </c>
      <c r="D6" s="30" t="inlineStr">
        <is>
          <t>Month</t>
        </is>
      </c>
      <c r="E6" s="30" t="inlineStr">
        <is>
          <t>Assign Date</t>
        </is>
      </c>
      <c r="F6" s="30" t="inlineStr">
        <is>
          <t>Closure Date</t>
        </is>
      </c>
      <c r="G6" s="30" t="inlineStr">
        <is>
          <t>Owner</t>
        </is>
      </c>
      <c r="H6" s="30" t="inlineStr">
        <is>
          <t>SP Change</t>
        </is>
      </c>
      <c r="I6" s="30" t="inlineStr">
        <is>
          <t>Code Change</t>
        </is>
      </c>
      <c r="J6" s="30" t="inlineStr">
        <is>
          <t>Code Lines Changed</t>
        </is>
      </c>
      <c r="K6" s="30" t="inlineStr">
        <is>
          <t>SQL Lines Changed</t>
        </is>
      </c>
      <c r="L6" s="30" t="inlineStr">
        <is>
          <t>Quarter</t>
        </is>
      </c>
      <c r="M6" s="30" t="inlineStr">
        <is>
          <t>Cycle Days</t>
        </is>
      </c>
    </row>
    <row r="7">
      <c r="A7" s="40" t="inlineStr">
        <is>
          <t>(No Helpdesk tickets in master — under training / KT)</t>
        </is>
      </c>
    </row>
  </sheetData>
  <hyperlinks>
    <hyperlink ref="A1" location="Krishna_OKR_Checklist!A1" display="Krishna_OKR_Checklist!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23" customWidth="1" style="56" min="1" max="1"/>
    <col width="26" customWidth="1" style="56" min="2" max="2"/>
    <col width="23" customWidth="1" style="56" min="3" max="3"/>
  </cols>
  <sheetData>
    <row r="1">
      <c r="A1" s="49" t="inlineStr">
        <is>
          <t>Krishna_OKR_Checklist!A1</t>
        </is>
      </c>
      <c r="B1" s="18" t="n"/>
    </row>
    <row r="3" ht="17.25" customHeight="1" s="56">
      <c r="A3" s="2" t="inlineStr">
        <is>
          <t>Q3-2025 Summary</t>
        </is>
      </c>
    </row>
    <row r="5">
      <c r="A5" s="25" t="inlineStr">
        <is>
          <t>Metric</t>
        </is>
      </c>
      <c r="B5" s="25" t="inlineStr">
        <is>
          <t>Value</t>
        </is>
      </c>
      <c r="C5" s="25" t="inlineStr">
        <is>
          <t>Achieved/Not Achieved</t>
        </is>
      </c>
    </row>
    <row r="6">
      <c r="A6" t="inlineStr">
        <is>
          <t>Total tickets</t>
        </is>
      </c>
      <c r="B6" t="n">
        <v>0</v>
      </c>
    </row>
    <row r="7">
      <c r="A7" t="inlineStr">
        <is>
          <t>Closed/Resolved</t>
        </is>
      </c>
      <c r="B7" t="n">
        <v>0</v>
      </c>
      <c r="C7" s="50" t="inlineStr">
        <is>
          <t>Yes</t>
        </is>
      </c>
    </row>
    <row r="8">
      <c r="A8" t="inlineStr">
        <is>
          <t>Open / spill</t>
        </is>
      </c>
      <c r="B8" t="n">
        <v>0</v>
      </c>
    </row>
    <row r="9">
      <c r="A9" t="inlineStr">
        <is>
          <t>Spill %</t>
        </is>
      </c>
      <c r="B9" t="n">
        <v>0</v>
      </c>
    </row>
    <row r="10">
      <c r="A10" t="inlineStr">
        <is>
          <t>Code Change tickets</t>
        </is>
      </c>
      <c r="B10" t="n">
        <v>0</v>
      </c>
    </row>
    <row r="11">
      <c r="A11" t="inlineStr">
        <is>
          <t>SP Change tickets</t>
        </is>
      </c>
      <c r="B11" t="n">
        <v>0</v>
      </c>
    </row>
    <row r="12">
      <c r="A12" t="inlineStr">
        <is>
          <t>Code Lines</t>
        </is>
      </c>
      <c r="B12" t="n">
        <v>0</v>
      </c>
    </row>
    <row r="13">
      <c r="A13" t="inlineStr">
        <is>
          <t>SQL Lines</t>
        </is>
      </c>
      <c r="B13" t="n">
        <v>0</v>
      </c>
    </row>
    <row r="14">
      <c r="A14" t="inlineStr">
        <is>
          <t>Avg Cycle Days</t>
        </is>
      </c>
    </row>
    <row r="15">
      <c r="A15" t="inlineStr">
        <is>
          <t>Defect-like themes</t>
        </is>
      </c>
      <c r="B15" t="n">
        <v>0</v>
      </c>
    </row>
    <row r="16">
      <c r="A16" t="inlineStr">
        <is>
          <t>Rework proxy count</t>
        </is>
      </c>
      <c r="B16" t="n">
        <v>0</v>
      </c>
    </row>
    <row r="17">
      <c r="A17" t="inlineStr">
        <is>
          <t>Delivery target</t>
        </is>
      </c>
      <c r="B17" t="n">
        <v>8</v>
      </c>
    </row>
  </sheetData>
  <hyperlinks>
    <hyperlink ref="A1" location="Krishna_OKR_Checklist!A1" display="Krishna_OKR_Checklist!A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32" customWidth="1" style="56" min="1" max="1"/>
    <col width="36" customWidth="1" style="56" min="2" max="2"/>
    <col width="12" customWidth="1" style="56" min="3" max="3"/>
    <col width="21" customWidth="1" style="56" min="4" max="6"/>
    <col width="12" customWidth="1" style="56" min="7" max="8"/>
    <col width="13" customWidth="1" style="56" min="9" max="9"/>
    <col width="20" customWidth="1" style="56" min="10" max="10"/>
    <col width="19" customWidth="1" style="56" min="11" max="11"/>
    <col width="12" customWidth="1" style="56" min="12" max="13"/>
  </cols>
  <sheetData>
    <row r="1">
      <c r="A1" s="49" t="inlineStr">
        <is>
          <t>Krishna_OKR_Checklist!A1</t>
        </is>
      </c>
      <c r="B1" s="18" t="n"/>
    </row>
    <row r="3" ht="17.25" customHeight="1" s="56">
      <c r="A3" s="39" t="inlineStr">
        <is>
          <t>Q4-2025 — ticket evidence pack (from Tickets_Master_Krishna)</t>
        </is>
      </c>
    </row>
    <row r="5">
      <c r="A5" s="25" t="inlineStr">
        <is>
          <t>Ticket No.</t>
        </is>
      </c>
      <c r="B5" s="25" t="inlineStr">
        <is>
          <t>Description</t>
        </is>
      </c>
      <c r="C5" s="25" t="inlineStr">
        <is>
          <t>Status</t>
        </is>
      </c>
      <c r="D5" s="25" t="inlineStr">
        <is>
          <t>Month</t>
        </is>
      </c>
      <c r="E5" s="25" t="inlineStr">
        <is>
          <t>Assign Date</t>
        </is>
      </c>
      <c r="F5" s="25" t="inlineStr">
        <is>
          <t>Closure Date</t>
        </is>
      </c>
      <c r="G5" s="25" t="inlineStr">
        <is>
          <t>Owner</t>
        </is>
      </c>
      <c r="H5" s="25" t="inlineStr">
        <is>
          <t>SP Change</t>
        </is>
      </c>
      <c r="I5" s="25" t="inlineStr">
        <is>
          <t>Code Change</t>
        </is>
      </c>
      <c r="J5" s="25" t="inlineStr">
        <is>
          <t>Code Lines Changed</t>
        </is>
      </c>
      <c r="K5" s="25" t="inlineStr">
        <is>
          <t>SQL Lines Changed</t>
        </is>
      </c>
      <c r="L5" s="25" t="inlineStr">
        <is>
          <t>Quarter</t>
        </is>
      </c>
      <c r="M5" s="25" t="inlineStr">
        <is>
          <t>Cycle Days</t>
        </is>
      </c>
    </row>
    <row r="6">
      <c r="A6" s="40" t="n">
        <v>21832</v>
      </c>
      <c r="B6" s="40" t="inlineStr">
        <is>
          <t>BOMs to Service add date</t>
        </is>
      </c>
      <c r="C6" s="40" t="inlineStr">
        <is>
          <t>Closed</t>
        </is>
      </c>
      <c r="D6" s="54" t="n">
        <v>45992</v>
      </c>
      <c r="E6" s="54" t="n">
        <v>45977</v>
      </c>
      <c r="F6" s="54" t="n">
        <v>46006</v>
      </c>
      <c r="G6" s="40" t="inlineStr">
        <is>
          <t>Krishna</t>
        </is>
      </c>
      <c r="H6" s="40" t="inlineStr">
        <is>
          <t>yes</t>
        </is>
      </c>
      <c r="I6" s="40" t="inlineStr">
        <is>
          <t>yes</t>
        </is>
      </c>
      <c r="J6" s="40" t="n">
        <v>72</v>
      </c>
      <c r="K6" s="40" t="n">
        <v>22</v>
      </c>
      <c r="L6" s="40" t="inlineStr">
        <is>
          <t>Q4-2025</t>
        </is>
      </c>
      <c r="M6" s="40" t="n">
        <v>29</v>
      </c>
    </row>
    <row r="7">
      <c r="A7" s="40" t="n">
        <v>28027</v>
      </c>
      <c r="B7" s="40" t="inlineStr">
        <is>
          <t>Is Serviced Toggle</t>
        </is>
      </c>
      <c r="C7" s="40" t="inlineStr">
        <is>
          <t>Closed</t>
        </is>
      </c>
      <c r="D7" s="54" t="n">
        <v>45992</v>
      </c>
      <c r="E7" s="54" t="n">
        <v>45971</v>
      </c>
      <c r="F7" s="54" t="n">
        <v>46020</v>
      </c>
      <c r="G7" s="40" t="inlineStr">
        <is>
          <t>Krishna</t>
        </is>
      </c>
      <c r="H7" s="40" t="n"/>
      <c r="I7" s="40" t="inlineStr">
        <is>
          <t>yes</t>
        </is>
      </c>
      <c r="J7" s="40" t="n">
        <v>58</v>
      </c>
      <c r="K7" s="40" t="n"/>
      <c r="L7" s="40" t="inlineStr">
        <is>
          <t>Q4-2025</t>
        </is>
      </c>
      <c r="M7" s="40" t="n">
        <v>49</v>
      </c>
    </row>
    <row r="8" ht="30" customHeight="1" s="56">
      <c r="A8" s="40" t="n">
        <v>28303</v>
      </c>
      <c r="B8" s="40" t="inlineStr">
        <is>
          <t>KIT S1209010K001</t>
        </is>
      </c>
      <c r="C8" s="40" t="inlineStr">
        <is>
          <t>Closed</t>
        </is>
      </c>
      <c r="D8" s="54" t="n">
        <v>45962</v>
      </c>
      <c r="E8" s="54" t="n">
        <v>45946</v>
      </c>
      <c r="F8" s="54" t="n">
        <v>45972</v>
      </c>
      <c r="G8" s="40" t="inlineStr">
        <is>
          <t>Krishna</t>
        </is>
      </c>
      <c r="H8" s="40" t="n"/>
      <c r="I8" s="40" t="inlineStr">
        <is>
          <t>yes</t>
        </is>
      </c>
      <c r="J8" s="40" t="n">
        <v>31</v>
      </c>
      <c r="K8" s="40" t="n"/>
      <c r="L8" s="40" t="inlineStr">
        <is>
          <t>Q4-2025</t>
        </is>
      </c>
      <c r="M8" s="40" t="n">
        <v>26</v>
      </c>
    </row>
    <row r="9" ht="30" customHeight="1" s="56">
      <c r="A9" s="40" t="n">
        <v>29130</v>
      </c>
      <c r="B9" s="40" t="inlineStr">
        <is>
          <t>Showing non-invoiced VINs</t>
        </is>
      </c>
      <c r="C9" s="40" t="inlineStr">
        <is>
          <t>Closed</t>
        </is>
      </c>
      <c r="D9" s="54" t="n">
        <v>45931</v>
      </c>
      <c r="E9" s="54" t="n">
        <v>45911</v>
      </c>
      <c r="F9" s="54" t="n">
        <v>45952</v>
      </c>
      <c r="G9" s="40" t="inlineStr">
        <is>
          <t>Krishna</t>
        </is>
      </c>
      <c r="H9" s="40" t="n"/>
      <c r="I9" s="40" t="inlineStr">
        <is>
          <t>yes</t>
        </is>
      </c>
      <c r="J9" s="40" t="n">
        <v>91</v>
      </c>
      <c r="K9" s="40" t="n"/>
      <c r="L9" s="40" t="inlineStr">
        <is>
          <t>Q4-2025</t>
        </is>
      </c>
      <c r="M9" s="40" t="n">
        <v>41</v>
      </c>
    </row>
    <row r="10">
      <c r="A10" s="40" t="n">
        <v>30304</v>
      </c>
      <c r="B10" s="40" t="inlineStr">
        <is>
          <t>A3885000E049 &amp; A7352001E129 EPC Part List discrepancies</t>
        </is>
      </c>
      <c r="C10" s="40" t="inlineStr">
        <is>
          <t>Closed</t>
        </is>
      </c>
      <c r="D10" s="54" t="n">
        <v>45962</v>
      </c>
      <c r="E10" s="54" t="n">
        <v>45959</v>
      </c>
      <c r="F10" s="54" t="n">
        <v>45980</v>
      </c>
      <c r="G10" s="40" t="inlineStr">
        <is>
          <t>Krishna</t>
        </is>
      </c>
      <c r="H10" s="40" t="inlineStr">
        <is>
          <t>yes</t>
        </is>
      </c>
      <c r="I10" s="40" t="n"/>
      <c r="J10" s="40" t="n"/>
      <c r="K10" s="40" t="n">
        <v>36</v>
      </c>
      <c r="L10" s="40" t="inlineStr">
        <is>
          <t>Q4-2025</t>
        </is>
      </c>
      <c r="M10" s="40" t="n">
        <v>21</v>
      </c>
    </row>
    <row r="11">
      <c r="A11" s="40" t="n">
        <v>30840</v>
      </c>
      <c r="B11" s="40" t="inlineStr">
        <is>
          <t>A3892002E067 EPC Part List discrepancy</t>
        </is>
      </c>
      <c r="C11" s="40" t="inlineStr">
        <is>
          <t>Closed</t>
        </is>
      </c>
      <c r="D11" s="54" t="n">
        <v>45962</v>
      </c>
      <c r="E11" s="54" t="n">
        <v>45940</v>
      </c>
      <c r="F11" s="54" t="n">
        <v>45974</v>
      </c>
      <c r="G11" s="40" t="inlineStr">
        <is>
          <t>Krishna</t>
        </is>
      </c>
      <c r="H11" s="40" t="inlineStr">
        <is>
          <t>yes</t>
        </is>
      </c>
      <c r="I11" s="40" t="n"/>
      <c r="J11" s="40" t="n"/>
      <c r="K11" s="40" t="n">
        <v>41</v>
      </c>
      <c r="L11" s="40" t="inlineStr">
        <is>
          <t>Q4-2025</t>
        </is>
      </c>
      <c r="M11" s="40" t="n">
        <v>34</v>
      </c>
    </row>
    <row r="12">
      <c r="A12" s="40" t="n">
        <v>32777</v>
      </c>
      <c r="B12" s="40" t="inlineStr">
        <is>
          <t>Vin's not showing up in EPC</t>
        </is>
      </c>
      <c r="C12" s="40" t="inlineStr">
        <is>
          <t>Closed</t>
        </is>
      </c>
      <c r="D12" s="54" t="n">
        <v>45992</v>
      </c>
      <c r="E12" s="54" t="n">
        <v>45989</v>
      </c>
      <c r="F12" s="54" t="n">
        <v>46020</v>
      </c>
      <c r="G12" s="40" t="inlineStr">
        <is>
          <t>Krishna</t>
        </is>
      </c>
      <c r="H12" s="40" t="inlineStr">
        <is>
          <t>yes</t>
        </is>
      </c>
      <c r="I12" s="40" t="n"/>
      <c r="J12" s="40" t="n"/>
      <c r="K12" s="40" t="n">
        <v>29</v>
      </c>
      <c r="L12" s="40" t="inlineStr">
        <is>
          <t>Q4-2025</t>
        </is>
      </c>
      <c r="M12" s="40" t="n">
        <v>31</v>
      </c>
    </row>
  </sheetData>
  <hyperlinks>
    <hyperlink ref="A1" location="Krishna_OKR_Checklist!A1" display="Krishna_OKR_Checklist!A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23" customWidth="1" style="56" min="1" max="1"/>
    <col width="26" customWidth="1" style="56" min="2" max="2"/>
    <col width="23" customWidth="1" style="56" min="3" max="3"/>
  </cols>
  <sheetData>
    <row r="1">
      <c r="A1" s="49" t="inlineStr">
        <is>
          <t>Krishna_OKR_Checklist!A1</t>
        </is>
      </c>
      <c r="B1" s="18" t="n"/>
    </row>
    <row r="3" ht="17.25" customHeight="1" s="56">
      <c r="A3" s="2" t="inlineStr">
        <is>
          <t>Q4-2025 Summary</t>
        </is>
      </c>
    </row>
    <row r="5">
      <c r="A5" s="25" t="inlineStr">
        <is>
          <t>Metric</t>
        </is>
      </c>
      <c r="B5" s="25" t="inlineStr">
        <is>
          <t>Value</t>
        </is>
      </c>
      <c r="C5" s="25" t="inlineStr">
        <is>
          <t>Achieved/Not Achieved</t>
        </is>
      </c>
    </row>
    <row r="6">
      <c r="A6" t="inlineStr">
        <is>
          <t>Total tickets</t>
        </is>
      </c>
      <c r="B6" t="n">
        <v>7</v>
      </c>
    </row>
    <row r="7">
      <c r="A7" t="inlineStr">
        <is>
          <t>Closed/Resolved</t>
        </is>
      </c>
      <c r="B7" t="n">
        <v>7</v>
      </c>
      <c r="C7" s="50" t="inlineStr">
        <is>
          <t>Yes</t>
        </is>
      </c>
    </row>
    <row r="8">
      <c r="A8" t="inlineStr">
        <is>
          <t>Open / spill</t>
        </is>
      </c>
      <c r="B8" t="n">
        <v>0</v>
      </c>
      <c r="C8" s="19" t="inlineStr">
        <is>
          <t>Yes</t>
        </is>
      </c>
    </row>
    <row r="9">
      <c r="A9" t="inlineStr">
        <is>
          <t>Spill %</t>
        </is>
      </c>
      <c r="B9" t="n">
        <v>0</v>
      </c>
      <c r="C9" s="19" t="inlineStr">
        <is>
          <t>Yes</t>
        </is>
      </c>
    </row>
    <row r="10">
      <c r="A10" t="inlineStr">
        <is>
          <t>Code Change tickets</t>
        </is>
      </c>
      <c r="B10" t="n">
        <v>4</v>
      </c>
      <c r="C10" s="19" t="inlineStr">
        <is>
          <t>Yes</t>
        </is>
      </c>
    </row>
    <row r="11">
      <c r="A11" t="inlineStr">
        <is>
          <t>SP Change tickets</t>
        </is>
      </c>
      <c r="B11" t="n">
        <v>4</v>
      </c>
      <c r="C11" s="19" t="inlineStr">
        <is>
          <t>Yes</t>
        </is>
      </c>
    </row>
    <row r="12">
      <c r="A12" t="inlineStr">
        <is>
          <t>Code Lines</t>
        </is>
      </c>
      <c r="B12" t="n">
        <v>252</v>
      </c>
    </row>
    <row r="13">
      <c r="A13" t="inlineStr">
        <is>
          <t>SQL Lines</t>
        </is>
      </c>
      <c r="B13" t="n">
        <v>128</v>
      </c>
    </row>
    <row r="14">
      <c r="A14" t="inlineStr">
        <is>
          <t>Avg Cycle Days</t>
        </is>
      </c>
      <c r="B14" t="n">
        <v>33</v>
      </c>
      <c r="C14" s="19" t="inlineStr">
        <is>
          <t>Yes</t>
        </is>
      </c>
    </row>
    <row r="15">
      <c r="A15" t="inlineStr">
        <is>
          <t>Defect-like themes</t>
        </is>
      </c>
      <c r="B15" t="n">
        <v>0</v>
      </c>
      <c r="C15" s="19" t="inlineStr">
        <is>
          <t>Yes</t>
        </is>
      </c>
    </row>
    <row r="16">
      <c r="A16" t="inlineStr">
        <is>
          <t>Rework proxy count</t>
        </is>
      </c>
      <c r="B16" t="n">
        <v>0</v>
      </c>
      <c r="C16" s="19" t="inlineStr">
        <is>
          <t>Yes</t>
        </is>
      </c>
    </row>
    <row r="17">
      <c r="A17" t="inlineStr">
        <is>
          <t>Delivery target</t>
        </is>
      </c>
      <c r="B17" t="n">
        <v>8</v>
      </c>
    </row>
  </sheetData>
  <hyperlinks>
    <hyperlink ref="A1" location="Krishna_OKR_Checklist!A1" display="Krishna_OKR_Checklist!A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M15"/>
  <sheetViews>
    <sheetView workbookViewId="0">
      <selection activeCell="L13" sqref="L13"/>
    </sheetView>
  </sheetViews>
  <sheetFormatPr baseColWidth="8" defaultRowHeight="15"/>
  <cols>
    <col width="32" customWidth="1" style="56" min="1" max="1"/>
    <col width="36" customWidth="1" style="56" min="2" max="2"/>
    <col width="13" customWidth="1" style="56" min="3" max="3"/>
    <col width="21" customWidth="1" style="56" min="4" max="6"/>
    <col width="12" customWidth="1" style="56" min="7" max="8"/>
    <col width="13" customWidth="1" style="56" min="9" max="9"/>
    <col width="20" customWidth="1" style="56" min="10" max="10"/>
    <col width="19" customWidth="1" style="56" min="11" max="11"/>
    <col width="12" customWidth="1" style="56" min="12" max="13"/>
  </cols>
  <sheetData>
    <row r="1">
      <c r="A1" s="49" t="inlineStr">
        <is>
          <t>Krishna_OKR_Checklist!A1</t>
        </is>
      </c>
      <c r="B1" s="18" t="n"/>
    </row>
    <row r="3" ht="17.25" customHeight="1" s="56">
      <c r="A3" s="39" t="inlineStr">
        <is>
          <t>Q1-2026 — ticket evidence pack (from Tickets_Master_Krishna)</t>
        </is>
      </c>
    </row>
    <row r="5">
      <c r="A5" s="25" t="inlineStr">
        <is>
          <t>Ticket No.</t>
        </is>
      </c>
      <c r="B5" s="25" t="inlineStr">
        <is>
          <t>Description</t>
        </is>
      </c>
      <c r="C5" s="25" t="inlineStr">
        <is>
          <t>Status</t>
        </is>
      </c>
      <c r="D5" s="25" t="inlineStr">
        <is>
          <t>Month</t>
        </is>
      </c>
      <c r="E5" s="25" t="inlineStr">
        <is>
          <t>Assign Date</t>
        </is>
      </c>
      <c r="F5" s="25" t="inlineStr">
        <is>
          <t>Closure Date</t>
        </is>
      </c>
      <c r="G5" s="25" t="inlineStr">
        <is>
          <t>Owner</t>
        </is>
      </c>
      <c r="H5" s="25" t="inlineStr">
        <is>
          <t>SP Change</t>
        </is>
      </c>
      <c r="I5" s="25" t="inlineStr">
        <is>
          <t>Code Change</t>
        </is>
      </c>
      <c r="J5" s="25" t="inlineStr">
        <is>
          <t>Code Lines Changed</t>
        </is>
      </c>
      <c r="K5" s="25" t="inlineStr">
        <is>
          <t>SQL Lines Changed</t>
        </is>
      </c>
      <c r="L5" s="25" t="inlineStr">
        <is>
          <t>Quarter</t>
        </is>
      </c>
      <c r="M5" s="25" t="inlineStr">
        <is>
          <t>Cycle Days</t>
        </is>
      </c>
    </row>
    <row r="6">
      <c r="A6" s="40" t="n">
        <v>15635</v>
      </c>
      <c r="B6" s="40" t="inlineStr">
        <is>
          <t>Mass Upload Needed for PRAC</t>
        </is>
      </c>
      <c r="C6" s="40" t="inlineStr">
        <is>
          <t>Closed</t>
        </is>
      </c>
      <c r="D6" s="54" t="n">
        <v>46082</v>
      </c>
      <c r="E6" s="54" t="n">
        <v>46065</v>
      </c>
      <c r="F6" s="54" t="n">
        <v>46094</v>
      </c>
      <c r="G6" s="40" t="inlineStr">
        <is>
          <t>Krishna</t>
        </is>
      </c>
      <c r="H6" s="40" t="inlineStr">
        <is>
          <t>yes</t>
        </is>
      </c>
      <c r="I6" s="40" t="n"/>
      <c r="J6" s="40" t="n"/>
      <c r="K6" s="40" t="n">
        <v>44</v>
      </c>
      <c r="L6" s="40" t="inlineStr">
        <is>
          <t>Q1-2026</t>
        </is>
      </c>
      <c r="M6" s="40" t="n">
        <v>29</v>
      </c>
    </row>
    <row r="7" ht="30" customHeight="1" s="56">
      <c r="A7" s="40" t="n">
        <v>16796</v>
      </c>
      <c r="B7" s="40" t="inlineStr">
        <is>
          <t>Missing steering gear serial number</t>
        </is>
      </c>
      <c r="C7" s="40" t="inlineStr">
        <is>
          <t>Closed</t>
        </is>
      </c>
      <c r="D7" s="54" t="n">
        <v>46082</v>
      </c>
      <c r="E7" s="54" t="n">
        <v>46056</v>
      </c>
      <c r="F7" s="54" t="n">
        <v>46092</v>
      </c>
      <c r="G7" s="40" t="inlineStr">
        <is>
          <t>Krishna</t>
        </is>
      </c>
      <c r="H7" s="40" t="n"/>
      <c r="I7" s="40" t="inlineStr">
        <is>
          <t>yes</t>
        </is>
      </c>
      <c r="J7" s="40" t="n">
        <v>94</v>
      </c>
      <c r="K7" s="40" t="n"/>
      <c r="L7" s="40" t="inlineStr">
        <is>
          <t>Q1-2026</t>
        </is>
      </c>
      <c r="M7" s="40" t="n">
        <v>36</v>
      </c>
    </row>
    <row r="8" ht="30" customHeight="1" s="56">
      <c r="A8" s="40" t="n">
        <v>27665</v>
      </c>
      <c r="B8" s="40" t="inlineStr">
        <is>
          <t>MDM - PRAC Overview (Add Structure Screen)</t>
        </is>
      </c>
      <c r="C8" s="40" t="inlineStr">
        <is>
          <t>InProgress</t>
        </is>
      </c>
      <c r="D8" s="54" t="n">
        <v>46082</v>
      </c>
      <c r="E8" s="54" t="n">
        <v>46072</v>
      </c>
      <c r="F8" s="40" t="n"/>
      <c r="G8" s="40" t="inlineStr">
        <is>
          <t>Krishna</t>
        </is>
      </c>
      <c r="H8" s="40" t="inlineStr">
        <is>
          <t>yes</t>
        </is>
      </c>
      <c r="I8" s="40" t="n"/>
      <c r="J8" s="40" t="n"/>
      <c r="K8" s="40" t="n">
        <v>22</v>
      </c>
      <c r="L8" s="40" t="inlineStr">
        <is>
          <t>Q1-2026</t>
        </is>
      </c>
      <c r="M8" s="40" t="n"/>
    </row>
    <row r="9">
      <c r="A9" s="40" t="n">
        <v>29717</v>
      </c>
      <c r="B9" s="40" t="inlineStr">
        <is>
          <t>Supersessions not showing in EPC</t>
        </is>
      </c>
      <c r="C9" s="40" t="inlineStr">
        <is>
          <t>Closed</t>
        </is>
      </c>
      <c r="D9" s="54" t="n">
        <v>46023</v>
      </c>
      <c r="E9" s="54" t="n">
        <v>45998</v>
      </c>
      <c r="F9" s="54" t="n">
        <v>46031</v>
      </c>
      <c r="G9" s="40" t="inlineStr">
        <is>
          <t>Krishna</t>
        </is>
      </c>
      <c r="H9" s="40" t="inlineStr">
        <is>
          <t>yes</t>
        </is>
      </c>
      <c r="I9" s="40" t="inlineStr">
        <is>
          <t>yes</t>
        </is>
      </c>
      <c r="J9" s="40" t="n">
        <v>37</v>
      </c>
      <c r="K9" s="40" t="n">
        <v>27</v>
      </c>
      <c r="L9" s="40" t="inlineStr">
        <is>
          <t>Q1-2026</t>
        </is>
      </c>
      <c r="M9" s="40" t="n">
        <v>33</v>
      </c>
    </row>
    <row r="10">
      <c r="A10" s="40" t="n">
        <v>32233</v>
      </c>
      <c r="B10" s="40" t="inlineStr">
        <is>
          <t>MDM - Division not updating</t>
        </is>
      </c>
      <c r="C10" s="40" t="inlineStr">
        <is>
          <t>In Progress</t>
        </is>
      </c>
      <c r="D10" s="54" t="n">
        <v>46023</v>
      </c>
      <c r="E10" s="54" t="n">
        <v>46018</v>
      </c>
      <c r="F10" s="40" t="n"/>
      <c r="G10" s="40" t="inlineStr">
        <is>
          <t>Krishna</t>
        </is>
      </c>
      <c r="H10" s="40" t="inlineStr">
        <is>
          <t>yes</t>
        </is>
      </c>
      <c r="I10" s="40" t="inlineStr">
        <is>
          <t>yes</t>
        </is>
      </c>
      <c r="J10" s="40" t="n">
        <v>63</v>
      </c>
      <c r="K10" s="40" t="n">
        <v>15</v>
      </c>
      <c r="L10" s="40" t="inlineStr">
        <is>
          <t>Q1-2026</t>
        </is>
      </c>
      <c r="M10" s="40" t="n"/>
    </row>
    <row r="11">
      <c r="A11" s="40" t="n">
        <v>32754</v>
      </c>
      <c r="B11" s="40" t="inlineStr">
        <is>
          <t>Vin's not showing up in EPC</t>
        </is>
      </c>
      <c r="C11" s="40" t="inlineStr">
        <is>
          <t>Closed</t>
        </is>
      </c>
      <c r="D11" s="54" t="n">
        <v>46023</v>
      </c>
      <c r="E11" s="54" t="n">
        <v>46013</v>
      </c>
      <c r="F11" s="54" t="n">
        <v>46049</v>
      </c>
      <c r="G11" s="40" t="inlineStr">
        <is>
          <t>Krishna</t>
        </is>
      </c>
      <c r="H11" s="40" t="inlineStr">
        <is>
          <t>yes</t>
        </is>
      </c>
      <c r="I11" s="40" t="n"/>
      <c r="J11" s="40" t="n"/>
      <c r="K11" s="40" t="n">
        <v>21</v>
      </c>
      <c r="L11" s="40" t="inlineStr">
        <is>
          <t>Q1-2026</t>
        </is>
      </c>
      <c r="M11" s="40" t="n">
        <v>36</v>
      </c>
    </row>
    <row r="12">
      <c r="A12" s="40" t="n">
        <v>32836</v>
      </c>
      <c r="B12" s="40" t="inlineStr">
        <is>
          <t>Vin's not showing up in EPC</t>
        </is>
      </c>
      <c r="C12" s="40" t="inlineStr">
        <is>
          <t>Closed</t>
        </is>
      </c>
      <c r="D12" s="54" t="n">
        <v>46082</v>
      </c>
      <c r="E12" s="54" t="n">
        <v>46077</v>
      </c>
      <c r="F12" s="54" t="n">
        <v>46100</v>
      </c>
      <c r="G12" s="40" t="inlineStr">
        <is>
          <t>Krishna</t>
        </is>
      </c>
      <c r="H12" s="40" t="inlineStr">
        <is>
          <t>yes</t>
        </is>
      </c>
      <c r="I12" s="40" t="n"/>
      <c r="J12" s="40" t="n"/>
      <c r="K12" s="40" t="n">
        <v>17</v>
      </c>
      <c r="L12" s="40" t="inlineStr">
        <is>
          <t>Q1-2026</t>
        </is>
      </c>
      <c r="M12" s="40" t="n">
        <v>23</v>
      </c>
    </row>
    <row r="13" ht="30" customHeight="1" s="56">
      <c r="A13" s="40" t="n">
        <v>33376</v>
      </c>
      <c r="B13" s="40" t="inlineStr">
        <is>
          <t>EPC Enhancement 2 - VMRS Data in Part Search Table</t>
        </is>
      </c>
      <c r="C13" s="40" t="inlineStr">
        <is>
          <t>Closed</t>
        </is>
      </c>
      <c r="D13" s="54" t="n">
        <v>46023</v>
      </c>
      <c r="E13" s="54" t="n">
        <v>45997</v>
      </c>
      <c r="F13" s="54" t="n">
        <v>46035</v>
      </c>
      <c r="G13" s="40" t="inlineStr">
        <is>
          <t>Krishna</t>
        </is>
      </c>
      <c r="H13" s="40" t="inlineStr">
        <is>
          <t>yes</t>
        </is>
      </c>
      <c r="I13" s="40" t="inlineStr">
        <is>
          <t>yes</t>
        </is>
      </c>
      <c r="J13" s="40" t="n">
        <v>94</v>
      </c>
      <c r="K13" s="40" t="n">
        <v>36</v>
      </c>
      <c r="L13" s="40" t="inlineStr">
        <is>
          <t>Q1-2026</t>
        </is>
      </c>
      <c r="M13" s="40" t="n">
        <v>38</v>
      </c>
    </row>
    <row r="14" ht="30" customHeight="1" s="56">
      <c r="A14" s="40" t="n">
        <v>33439</v>
      </c>
      <c r="B14" s="40" t="inlineStr">
        <is>
          <t>Volvo built Autocar VINs missing (194*** &amp; 195***)</t>
        </is>
      </c>
      <c r="C14" s="40" t="inlineStr">
        <is>
          <t>Closed</t>
        </is>
      </c>
      <c r="D14" s="54" t="n">
        <v>46023</v>
      </c>
      <c r="E14" s="54" t="n">
        <v>46018</v>
      </c>
      <c r="F14" s="54" t="n">
        <v>46032</v>
      </c>
      <c r="G14" s="40" t="inlineStr">
        <is>
          <t>Krishna</t>
        </is>
      </c>
      <c r="H14" s="40" t="n"/>
      <c r="I14" s="40" t="inlineStr">
        <is>
          <t>yes</t>
        </is>
      </c>
      <c r="J14" s="40" t="n">
        <v>100</v>
      </c>
      <c r="K14" s="40" t="n"/>
      <c r="L14" s="40" t="inlineStr">
        <is>
          <t>Q1-2026</t>
        </is>
      </c>
      <c r="M14" s="40" t="n">
        <v>14</v>
      </c>
    </row>
    <row r="15">
      <c r="A15" s="40" t="n">
        <v>35062</v>
      </c>
      <c r="B15" s="40" t="inlineStr">
        <is>
          <t>EPC - Module map links are broke</t>
        </is>
      </c>
      <c r="C15" s="40" t="inlineStr">
        <is>
          <t>Closed</t>
        </is>
      </c>
      <c r="D15" s="54" t="n">
        <v>46082</v>
      </c>
      <c r="E15" s="54" t="n">
        <v>46064</v>
      </c>
      <c r="F15" s="54" t="n">
        <v>46106</v>
      </c>
      <c r="G15" s="40" t="inlineStr">
        <is>
          <t>Krishna</t>
        </is>
      </c>
      <c r="H15" s="40" t="n"/>
      <c r="I15" s="40" t="inlineStr">
        <is>
          <t>yes</t>
        </is>
      </c>
      <c r="J15" s="40" t="n">
        <v>45</v>
      </c>
      <c r="K15" s="40" t="n"/>
      <c r="L15" s="40" t="inlineStr">
        <is>
          <t>Q1-2026</t>
        </is>
      </c>
      <c r="M15" s="40" t="n">
        <v>42</v>
      </c>
    </row>
  </sheetData>
  <hyperlinks>
    <hyperlink ref="A1" location="Krishna_OKR_Checklist!A1" display="Krishna_OKR_Checklist!A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17"/>
  <sheetViews>
    <sheetView topLeftCell="A4" workbookViewId="0">
      <selection activeCell="C17" sqref="C17"/>
    </sheetView>
  </sheetViews>
  <sheetFormatPr baseColWidth="8" defaultRowHeight="15"/>
  <cols>
    <col width="23" customWidth="1" style="56" min="1" max="1"/>
    <col width="26" customWidth="1" style="56" min="2" max="2"/>
    <col width="23" customWidth="1" style="56" min="3" max="3"/>
  </cols>
  <sheetData>
    <row r="1">
      <c r="A1" s="49" t="inlineStr">
        <is>
          <t>Krishna_OKR_Checklist!A1</t>
        </is>
      </c>
      <c r="B1" s="18" t="n"/>
    </row>
    <row r="3" ht="17.25" customHeight="1" s="56">
      <c r="A3" s="2" t="inlineStr">
        <is>
          <t>Q1-2026 Summary</t>
        </is>
      </c>
    </row>
    <row r="5">
      <c r="A5" s="25" t="inlineStr">
        <is>
          <t>Metric</t>
        </is>
      </c>
      <c r="B5" s="25" t="inlineStr">
        <is>
          <t>Value</t>
        </is>
      </c>
      <c r="C5" s="25" t="inlineStr">
        <is>
          <t>Achieved/Not Achieved</t>
        </is>
      </c>
    </row>
    <row r="6">
      <c r="A6" t="inlineStr">
        <is>
          <t>Total tickets</t>
        </is>
      </c>
      <c r="B6" t="n">
        <v>10</v>
      </c>
    </row>
    <row r="7">
      <c r="A7" t="inlineStr">
        <is>
          <t>Closed/Resolved</t>
        </is>
      </c>
      <c r="B7" t="n">
        <v>8</v>
      </c>
      <c r="C7" s="50" t="inlineStr">
        <is>
          <t>Yes</t>
        </is>
      </c>
    </row>
    <row r="8">
      <c r="A8" t="inlineStr">
        <is>
          <t>Open / spill</t>
        </is>
      </c>
      <c r="B8" t="n">
        <v>2</v>
      </c>
      <c r="C8" s="19" t="inlineStr">
        <is>
          <t>Yes</t>
        </is>
      </c>
    </row>
    <row r="9">
      <c r="A9" t="inlineStr">
        <is>
          <t>Spill %</t>
        </is>
      </c>
      <c r="B9" t="n">
        <v>22.2</v>
      </c>
      <c r="C9" s="19" t="inlineStr">
        <is>
          <t>Yes</t>
        </is>
      </c>
    </row>
    <row r="10">
      <c r="A10" t="inlineStr">
        <is>
          <t>Code Change tickets</t>
        </is>
      </c>
      <c r="B10" t="n">
        <v>5</v>
      </c>
      <c r="C10" s="19" t="inlineStr">
        <is>
          <t>Yes</t>
        </is>
      </c>
    </row>
    <row r="11">
      <c r="A11" t="inlineStr">
        <is>
          <t>SP Change tickets</t>
        </is>
      </c>
      <c r="B11" t="n">
        <v>7</v>
      </c>
      <c r="C11" s="19" t="inlineStr">
        <is>
          <t>Yes</t>
        </is>
      </c>
    </row>
    <row r="12">
      <c r="A12" t="inlineStr">
        <is>
          <t>Code Lines</t>
        </is>
      </c>
      <c r="B12" t="n">
        <v>433</v>
      </c>
    </row>
    <row r="13">
      <c r="A13" t="inlineStr">
        <is>
          <t>SQL Lines</t>
        </is>
      </c>
      <c r="B13" t="n">
        <v>182</v>
      </c>
    </row>
    <row r="14">
      <c r="A14" t="inlineStr">
        <is>
          <t>Avg Cycle Days</t>
        </is>
      </c>
      <c r="B14" t="n">
        <v>29.9</v>
      </c>
      <c r="C14" s="19" t="inlineStr">
        <is>
          <t>Yes</t>
        </is>
      </c>
    </row>
    <row r="15">
      <c r="A15" t="inlineStr">
        <is>
          <t>Defect-like themes</t>
        </is>
      </c>
      <c r="B15" t="n">
        <v>2</v>
      </c>
      <c r="C15" s="19" t="inlineStr">
        <is>
          <t>Yes</t>
        </is>
      </c>
    </row>
    <row r="16">
      <c r="A16" t="inlineStr">
        <is>
          <t>Rework proxy count</t>
        </is>
      </c>
      <c r="B16" t="n">
        <v>0</v>
      </c>
      <c r="C16" s="19" t="inlineStr">
        <is>
          <t>Yes</t>
        </is>
      </c>
    </row>
    <row r="17">
      <c r="A17" t="inlineStr">
        <is>
          <t>Delivery target</t>
        </is>
      </c>
      <c r="B17" t="n">
        <v>8</v>
      </c>
    </row>
  </sheetData>
  <hyperlinks>
    <hyperlink ref="A1" location="Krishna_OKR_Checklist!A1" display="Krishna_OKR_Checklist!A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25"/>
  <sheetViews>
    <sheetView topLeftCell="A7" workbookViewId="0">
      <selection activeCell="B25" sqref="B25"/>
    </sheetView>
  </sheetViews>
  <sheetFormatPr baseColWidth="8" defaultRowHeight="15"/>
  <cols>
    <col width="32" customWidth="1" style="56" min="1" max="1"/>
    <col width="36" customWidth="1" style="56" min="2" max="2"/>
    <col width="13" customWidth="1" style="56" min="3" max="3"/>
    <col width="21" customWidth="1" style="56" min="4" max="6"/>
    <col width="12" customWidth="1" style="56" min="7" max="8"/>
    <col width="13" customWidth="1" style="56" min="9" max="9"/>
    <col width="20" customWidth="1" style="56" min="10" max="10"/>
    <col width="19" customWidth="1" style="56" min="11" max="11"/>
    <col width="12" customWidth="1" style="56" min="12" max="13"/>
  </cols>
  <sheetData>
    <row r="1">
      <c r="A1" s="49" t="inlineStr">
        <is>
          <t>Krishna_OKR_Checklist!A1</t>
        </is>
      </c>
      <c r="B1" s="18" t="n"/>
    </row>
    <row r="3" ht="17.25" customHeight="1" s="56">
      <c r="A3" s="39" t="inlineStr">
        <is>
          <t>Q2-2026 — ticket evidence pack (from Tickets_Master_Krishna)</t>
        </is>
      </c>
    </row>
    <row r="5">
      <c r="A5" s="25" t="inlineStr">
        <is>
          <t>Ticket No.</t>
        </is>
      </c>
      <c r="B5" s="25" t="inlineStr">
        <is>
          <t>Description</t>
        </is>
      </c>
      <c r="C5" s="25" t="inlineStr">
        <is>
          <t>Status</t>
        </is>
      </c>
      <c r="D5" s="25" t="inlineStr">
        <is>
          <t>Month</t>
        </is>
      </c>
      <c r="E5" s="25" t="inlineStr">
        <is>
          <t>Assign Date</t>
        </is>
      </c>
      <c r="F5" s="25" t="inlineStr">
        <is>
          <t>Closure Date</t>
        </is>
      </c>
      <c r="G5" s="25" t="inlineStr">
        <is>
          <t>Owner</t>
        </is>
      </c>
      <c r="H5" s="25" t="inlineStr">
        <is>
          <t>SP Change</t>
        </is>
      </c>
      <c r="I5" s="25" t="inlineStr">
        <is>
          <t>Code Change</t>
        </is>
      </c>
      <c r="J5" s="25" t="inlineStr">
        <is>
          <t>Code Lines Changed</t>
        </is>
      </c>
      <c r="K5" s="25" t="inlineStr">
        <is>
          <t>SQL Lines Changed</t>
        </is>
      </c>
      <c r="L5" s="25" t="inlineStr">
        <is>
          <t>Quarter</t>
        </is>
      </c>
      <c r="M5" s="25" t="inlineStr">
        <is>
          <t>Cycle Days</t>
        </is>
      </c>
    </row>
    <row r="6" ht="30" customHeight="1" s="56">
      <c r="A6" s="40" t="n">
        <v>32776</v>
      </c>
      <c r="B6" s="40" t="inlineStr">
        <is>
          <t>Vin's not showing up in EPC</t>
        </is>
      </c>
      <c r="C6" s="40" t="inlineStr">
        <is>
          <t>Closed</t>
        </is>
      </c>
      <c r="D6" s="54" t="n">
        <v>46174</v>
      </c>
      <c r="E6" s="54" t="n">
        <v>46162</v>
      </c>
      <c r="F6" s="54" t="n">
        <v>46183</v>
      </c>
      <c r="G6" s="40" t="inlineStr">
        <is>
          <t>Krishna</t>
        </is>
      </c>
      <c r="H6" s="40" t="inlineStr">
        <is>
          <t>yes</t>
        </is>
      </c>
      <c r="I6" s="40" t="n"/>
      <c r="J6" s="40" t="n"/>
      <c r="K6" s="40" t="n">
        <v>19</v>
      </c>
      <c r="L6" s="40" t="inlineStr">
        <is>
          <t>Q2-2026</t>
        </is>
      </c>
      <c r="M6" s="40" t="n">
        <v>21</v>
      </c>
    </row>
    <row r="7" ht="30" customHeight="1" s="56">
      <c r="A7" s="40" t="n">
        <v>33585</v>
      </c>
      <c r="B7" s="40" t="inlineStr">
        <is>
          <t>EPC - A2390062-001 wrong 3D image in EPC</t>
        </is>
      </c>
      <c r="C7" s="40" t="inlineStr">
        <is>
          <t>Closed</t>
        </is>
      </c>
      <c r="D7" s="54" t="n">
        <v>46143</v>
      </c>
      <c r="E7" s="54" t="n">
        <v>46119</v>
      </c>
      <c r="F7" s="54" t="n">
        <v>46149</v>
      </c>
      <c r="G7" s="40" t="inlineStr">
        <is>
          <t>Krishna</t>
        </is>
      </c>
      <c r="H7" s="40" t="n"/>
      <c r="I7" s="40" t="inlineStr">
        <is>
          <t>yes</t>
        </is>
      </c>
      <c r="J7" s="40" t="n">
        <v>60</v>
      </c>
      <c r="K7" s="40" t="n"/>
      <c r="L7" s="40" t="inlineStr">
        <is>
          <t>Q2-2026</t>
        </is>
      </c>
      <c r="M7" s="40" t="n">
        <v>30</v>
      </c>
    </row>
    <row r="8" ht="30" customHeight="1" s="56">
      <c r="A8" s="40" t="n">
        <v>35023</v>
      </c>
      <c r="B8" s="40" t="inlineStr">
        <is>
          <t>MDM - Updated Classification of Attached Parts List</t>
        </is>
      </c>
      <c r="C8" s="40" t="inlineStr">
        <is>
          <t>Closed</t>
        </is>
      </c>
      <c r="D8" s="54" t="n">
        <v>46143</v>
      </c>
      <c r="E8" s="54" t="n">
        <v>46117</v>
      </c>
      <c r="F8" s="54" t="n">
        <v>46155</v>
      </c>
      <c r="G8" s="40" t="inlineStr">
        <is>
          <t>Krishna</t>
        </is>
      </c>
      <c r="H8" s="40" t="inlineStr">
        <is>
          <t>yes</t>
        </is>
      </c>
      <c r="I8" s="40" t="n"/>
      <c r="J8" s="40" t="n"/>
      <c r="K8" s="40" t="n">
        <v>25</v>
      </c>
      <c r="L8" s="40" t="inlineStr">
        <is>
          <t>Q2-2026</t>
        </is>
      </c>
      <c r="M8" s="40" t="n">
        <v>38</v>
      </c>
    </row>
    <row r="9" ht="30" customHeight="1" s="56">
      <c r="A9" s="40" t="n">
        <v>35275</v>
      </c>
      <c r="B9" s="40" t="inlineStr">
        <is>
          <t>MDM/EPC - Verify that back flush is working correct</t>
        </is>
      </c>
      <c r="C9" s="40" t="inlineStr">
        <is>
          <t>In Progress</t>
        </is>
      </c>
      <c r="D9" s="54" t="n">
        <v>46143</v>
      </c>
      <c r="E9" s="54" t="n">
        <v>46123</v>
      </c>
      <c r="F9" s="40" t="n"/>
      <c r="G9" s="40" t="inlineStr">
        <is>
          <t>Krishna</t>
        </is>
      </c>
      <c r="H9" s="40" t="inlineStr">
        <is>
          <t>yes</t>
        </is>
      </c>
      <c r="I9" s="40" t="inlineStr">
        <is>
          <t>yes</t>
        </is>
      </c>
      <c r="J9" s="40" t="n">
        <v>58</v>
      </c>
      <c r="K9" s="40" t="n">
        <v>20</v>
      </c>
      <c r="L9" s="40" t="inlineStr">
        <is>
          <t>Q2-2026</t>
        </is>
      </c>
      <c r="M9" s="40" t="n"/>
    </row>
    <row r="10" ht="30" customHeight="1" s="56">
      <c r="A10" s="40" t="n">
        <v>35340</v>
      </c>
      <c r="B10" s="40" t="inlineStr">
        <is>
          <t>Vin. 227848 not showing up in EPC</t>
        </is>
      </c>
      <c r="C10" s="40" t="inlineStr">
        <is>
          <t>Closed</t>
        </is>
      </c>
      <c r="D10" s="54" t="n">
        <v>46174</v>
      </c>
      <c r="E10" s="54" t="n">
        <v>46161</v>
      </c>
      <c r="F10" s="54" t="n">
        <v>46199</v>
      </c>
      <c r="G10" s="40" t="inlineStr">
        <is>
          <t>Krishna</t>
        </is>
      </c>
      <c r="H10" s="40" t="inlineStr">
        <is>
          <t>yes</t>
        </is>
      </c>
      <c r="I10" s="40" t="n"/>
      <c r="J10" s="40" t="n"/>
      <c r="K10" s="40" t="n">
        <v>25</v>
      </c>
      <c r="L10" s="40" t="inlineStr">
        <is>
          <t>Q2-2026</t>
        </is>
      </c>
      <c r="M10" s="40" t="n">
        <v>38</v>
      </c>
    </row>
    <row r="11">
      <c r="A11" s="40" t="n">
        <v>35609</v>
      </c>
      <c r="B11" s="40" t="inlineStr">
        <is>
          <t>Replaced by part numbers in EPC are no longer displaying</t>
        </is>
      </c>
      <c r="C11" s="40" t="inlineStr">
        <is>
          <t>Closed</t>
        </is>
      </c>
      <c r="D11" s="54" t="n">
        <v>46143</v>
      </c>
      <c r="E11" s="54" t="n">
        <v>46123</v>
      </c>
      <c r="F11" s="54" t="n">
        <v>46146</v>
      </c>
      <c r="G11" s="40" t="inlineStr">
        <is>
          <t>Krishna</t>
        </is>
      </c>
      <c r="H11" s="40" t="n"/>
      <c r="I11" s="40" t="inlineStr">
        <is>
          <t>yes</t>
        </is>
      </c>
      <c r="J11" s="40" t="n">
        <v>96</v>
      </c>
      <c r="K11" s="40" t="n"/>
      <c r="L11" s="40" t="inlineStr">
        <is>
          <t>Q2-2026</t>
        </is>
      </c>
      <c r="M11" s="40" t="n">
        <v>23</v>
      </c>
    </row>
    <row r="12">
      <c r="A12" s="40" t="n">
        <v>35692</v>
      </c>
      <c r="B12" s="40" t="inlineStr">
        <is>
          <t>EPC - A2390062-001 3D image</t>
        </is>
      </c>
      <c r="C12" s="40" t="inlineStr">
        <is>
          <t>Closed</t>
        </is>
      </c>
      <c r="D12" s="54" t="n">
        <v>46143</v>
      </c>
      <c r="E12" s="54" t="n">
        <v>46129</v>
      </c>
      <c r="F12" s="54" t="n">
        <v>46171</v>
      </c>
      <c r="G12" s="40" t="inlineStr">
        <is>
          <t>Krishna</t>
        </is>
      </c>
      <c r="H12" s="40" t="n"/>
      <c r="I12" s="40" t="inlineStr">
        <is>
          <t>yes</t>
        </is>
      </c>
      <c r="J12" s="40" t="n">
        <v>65</v>
      </c>
      <c r="K12" s="40" t="n"/>
      <c r="L12" s="40" t="inlineStr">
        <is>
          <t>Q2-2026</t>
        </is>
      </c>
      <c r="M12" s="40" t="n">
        <v>42</v>
      </c>
    </row>
    <row r="13">
      <c r="A13" s="40" t="n">
        <v>35860</v>
      </c>
      <c r="B13" s="40" t="inlineStr">
        <is>
          <t>EPC customer unable to add items to cart</t>
        </is>
      </c>
      <c r="C13" s="40" t="inlineStr">
        <is>
          <t>Closed</t>
        </is>
      </c>
      <c r="D13" s="54" t="n">
        <v>46143</v>
      </c>
      <c r="E13" s="54" t="n">
        <v>46122</v>
      </c>
      <c r="F13" s="54" t="n">
        <v>46152</v>
      </c>
      <c r="G13" s="40" t="inlineStr">
        <is>
          <t>Krishna</t>
        </is>
      </c>
      <c r="H13" s="40" t="inlineStr">
        <is>
          <t>yes</t>
        </is>
      </c>
      <c r="I13" s="40" t="n"/>
      <c r="J13" s="40" t="n"/>
      <c r="K13" s="40" t="n">
        <v>22</v>
      </c>
      <c r="L13" s="40" t="inlineStr">
        <is>
          <t>Q2-2026</t>
        </is>
      </c>
      <c r="M13" s="40" t="n">
        <v>30</v>
      </c>
    </row>
    <row r="14">
      <c r="A14" s="40" t="n">
        <v>36707</v>
      </c>
      <c r="B14" s="40" t="inlineStr">
        <is>
          <t>Vin. 252789 not showing up in EPC</t>
        </is>
      </c>
      <c r="C14" s="40" t="inlineStr">
        <is>
          <t>Closed</t>
        </is>
      </c>
      <c r="D14" s="54" t="n">
        <v>46174</v>
      </c>
      <c r="E14" s="54" t="n">
        <v>46150</v>
      </c>
      <c r="F14" s="54" t="n">
        <v>46186</v>
      </c>
      <c r="G14" s="40" t="inlineStr">
        <is>
          <t>Krishna</t>
        </is>
      </c>
      <c r="H14" s="40" t="n"/>
      <c r="I14" s="40" t="inlineStr">
        <is>
          <t>yes</t>
        </is>
      </c>
      <c r="J14" s="40" t="n">
        <v>46</v>
      </c>
      <c r="K14" s="40" t="n"/>
      <c r="L14" s="40" t="inlineStr">
        <is>
          <t>Q2-2026</t>
        </is>
      </c>
      <c r="M14" s="40" t="n">
        <v>36</v>
      </c>
    </row>
    <row r="15" ht="30" customHeight="1" s="56">
      <c r="A15" s="40" t="n">
        <v>37105</v>
      </c>
      <c r="B15" s="40" t="inlineStr">
        <is>
          <t>Accounting issue with setting up a customer in the system - MDM</t>
        </is>
      </c>
      <c r="C15" s="40" t="inlineStr">
        <is>
          <t>Closed</t>
        </is>
      </c>
      <c r="D15" s="54" t="n">
        <v>46174</v>
      </c>
      <c r="E15" s="54" t="n">
        <v>46155</v>
      </c>
      <c r="F15" s="54" t="n">
        <v>46199</v>
      </c>
      <c r="G15" s="40" t="inlineStr">
        <is>
          <t>Krishna</t>
        </is>
      </c>
      <c r="H15" s="40" t="n"/>
      <c r="I15" s="40" t="inlineStr">
        <is>
          <t>yes</t>
        </is>
      </c>
      <c r="J15" s="40" t="n">
        <v>66</v>
      </c>
      <c r="K15" s="40" t="n"/>
      <c r="L15" s="40" t="inlineStr">
        <is>
          <t>Q2-2026</t>
        </is>
      </c>
      <c r="M15" s="40" t="n">
        <v>44</v>
      </c>
    </row>
    <row r="16" ht="30" customHeight="1" s="56">
      <c r="A16" s="40" t="n">
        <v>37321</v>
      </c>
      <c r="B16" s="40" t="inlineStr">
        <is>
          <t>239002 VIN. not showing up in EPC</t>
        </is>
      </c>
      <c r="C16" s="40" t="inlineStr">
        <is>
          <t>Closed</t>
        </is>
      </c>
      <c r="D16" s="54" t="n">
        <v>46174</v>
      </c>
      <c r="E16" s="54" t="n">
        <v>46146</v>
      </c>
      <c r="F16" s="54" t="n">
        <v>46191</v>
      </c>
      <c r="G16" s="40" t="inlineStr">
        <is>
          <t>Krishna</t>
        </is>
      </c>
      <c r="H16" s="40" t="inlineStr">
        <is>
          <t>yes</t>
        </is>
      </c>
      <c r="I16" s="40" t="inlineStr">
        <is>
          <t>yes</t>
        </is>
      </c>
      <c r="J16" s="40" t="n">
        <v>34</v>
      </c>
      <c r="K16" s="40" t="n">
        <v>23</v>
      </c>
      <c r="L16" s="40" t="inlineStr">
        <is>
          <t>Q2-2026</t>
        </is>
      </c>
      <c r="M16" s="40" t="n">
        <v>45</v>
      </c>
    </row>
    <row r="17">
      <c r="A17" s="40" t="n">
        <v>38045</v>
      </c>
      <c r="B17" s="40" t="inlineStr">
        <is>
          <t>EPC - Not showing the NetSuite stock</t>
        </is>
      </c>
      <c r="C17" s="40" t="inlineStr">
        <is>
          <t>Closed</t>
        </is>
      </c>
      <c r="D17" s="54" t="n">
        <v>46174</v>
      </c>
      <c r="E17" s="54" t="n">
        <v>46145</v>
      </c>
      <c r="F17" s="54" t="n">
        <v>46179</v>
      </c>
      <c r="G17" s="40" t="inlineStr">
        <is>
          <t>Krishna</t>
        </is>
      </c>
      <c r="H17" s="40" t="inlineStr">
        <is>
          <t>yes</t>
        </is>
      </c>
      <c r="I17" s="40" t="inlineStr">
        <is>
          <t>yes</t>
        </is>
      </c>
      <c r="J17" s="40" t="n">
        <v>38</v>
      </c>
      <c r="K17" s="40" t="n">
        <v>35</v>
      </c>
      <c r="L17" s="40" t="inlineStr">
        <is>
          <t>Q2-2026</t>
        </is>
      </c>
      <c r="M17" s="40" t="n">
        <v>34</v>
      </c>
    </row>
    <row r="18">
      <c r="A18" s="40" t="n">
        <v>38288</v>
      </c>
      <c r="B18" s="40" t="inlineStr">
        <is>
          <t>A7636002E011 not showing in EPC</t>
        </is>
      </c>
      <c r="C18" s="40" t="inlineStr">
        <is>
          <t>Closed</t>
        </is>
      </c>
      <c r="D18" s="54" t="n">
        <v>46174</v>
      </c>
      <c r="E18" s="54" t="n">
        <v>46161</v>
      </c>
      <c r="F18" s="54" t="n">
        <v>46192</v>
      </c>
      <c r="G18" s="40" t="inlineStr">
        <is>
          <t>Krishna</t>
        </is>
      </c>
      <c r="H18" s="40" t="inlineStr">
        <is>
          <t>yes</t>
        </is>
      </c>
      <c r="I18" s="40" t="n"/>
      <c r="J18" s="40" t="n"/>
      <c r="K18" s="40" t="n">
        <v>22</v>
      </c>
      <c r="L18" s="40" t="inlineStr">
        <is>
          <t>Q2-2026</t>
        </is>
      </c>
      <c r="M18" s="40" t="n">
        <v>31</v>
      </c>
    </row>
    <row r="19" ht="30" customHeight="1" s="56">
      <c r="A19" s="40" t="n">
        <v>38325</v>
      </c>
      <c r="B19" s="40" t="inlineStr">
        <is>
          <t>Implement Microsoft Clarity on the EPC portal</t>
        </is>
      </c>
      <c r="C19" s="40" t="inlineStr">
        <is>
          <t>Closed</t>
        </is>
      </c>
      <c r="D19" s="54" t="n">
        <v>46174</v>
      </c>
      <c r="E19" s="54" t="n">
        <v>46162</v>
      </c>
      <c r="F19" s="54" t="n">
        <v>46192</v>
      </c>
      <c r="G19" s="40" t="inlineStr">
        <is>
          <t>Krishna</t>
        </is>
      </c>
      <c r="H19" s="40" t="inlineStr">
        <is>
          <t>yes</t>
        </is>
      </c>
      <c r="I19" s="40" t="n"/>
      <c r="J19" s="40" t="n"/>
      <c r="K19" s="40" t="n">
        <v>22</v>
      </c>
      <c r="L19" s="40" t="inlineStr">
        <is>
          <t>Q2-2026</t>
        </is>
      </c>
      <c r="M19" s="40" t="n">
        <v>30</v>
      </c>
    </row>
    <row r="20" ht="30" customHeight="1" s="56">
      <c r="A20" s="40" t="n">
        <v>38355</v>
      </c>
      <c r="B20" s="40" t="inlineStr">
        <is>
          <t>Get blank screen when clicking on Replaced by # in QAD</t>
        </is>
      </c>
      <c r="C20" s="40" t="inlineStr">
        <is>
          <t>Closed</t>
        </is>
      </c>
      <c r="D20" s="54" t="n">
        <v>46174</v>
      </c>
      <c r="E20" s="54" t="n">
        <v>46151</v>
      </c>
      <c r="F20" s="54" t="n">
        <v>46191</v>
      </c>
      <c r="G20" s="40" t="inlineStr">
        <is>
          <t>Krishna</t>
        </is>
      </c>
      <c r="H20" s="40" t="inlineStr">
        <is>
          <t>yes</t>
        </is>
      </c>
      <c r="I20" s="40" t="inlineStr">
        <is>
          <t>yes</t>
        </is>
      </c>
      <c r="J20" s="40" t="n">
        <v>50</v>
      </c>
      <c r="K20" s="40" t="n">
        <v>30</v>
      </c>
      <c r="L20" s="40" t="inlineStr">
        <is>
          <t>Q2-2026</t>
        </is>
      </c>
      <c r="M20" s="40" t="n">
        <v>40</v>
      </c>
    </row>
    <row r="21" ht="30" customHeight="1" s="56">
      <c r="A21" s="40" t="n">
        <v>39016</v>
      </c>
      <c r="B21" s="40" t="inlineStr">
        <is>
          <t>MDM - Saving part with NA</t>
        </is>
      </c>
      <c r="C21" s="40" t="inlineStr">
        <is>
          <t>Closed</t>
        </is>
      </c>
      <c r="D21" s="54" t="n">
        <v>46174</v>
      </c>
      <c r="E21" s="54" t="n">
        <v>46156</v>
      </c>
      <c r="F21" s="54" t="n">
        <v>46196</v>
      </c>
      <c r="G21" s="40" t="inlineStr">
        <is>
          <t>Krishna</t>
        </is>
      </c>
      <c r="H21" s="40" t="n"/>
      <c r="I21" s="40" t="inlineStr">
        <is>
          <t>yes</t>
        </is>
      </c>
      <c r="J21" s="40" t="n">
        <v>92</v>
      </c>
      <c r="K21" s="40" t="n"/>
      <c r="L21" s="40" t="inlineStr">
        <is>
          <t>Q2-2026</t>
        </is>
      </c>
      <c r="M21" s="40" t="n">
        <v>40</v>
      </c>
    </row>
    <row r="22" ht="30" customHeight="1" s="56">
      <c r="A22" s="40" t="n">
        <v>39212</v>
      </c>
      <c r="B22" s="40" t="inlineStr">
        <is>
          <t>BOM classifications</t>
        </is>
      </c>
      <c r="C22" s="40" t="inlineStr">
        <is>
          <t>Closed</t>
        </is>
      </c>
      <c r="D22" s="54" t="n">
        <v>46143</v>
      </c>
      <c r="E22" s="54" t="n">
        <v>46126</v>
      </c>
      <c r="F22" s="54" t="n">
        <v>46165</v>
      </c>
      <c r="G22" s="40" t="inlineStr">
        <is>
          <t>Krishna</t>
        </is>
      </c>
      <c r="H22" s="40" t="n"/>
      <c r="I22" s="40" t="inlineStr">
        <is>
          <t>yes</t>
        </is>
      </c>
      <c r="J22" s="40" t="n">
        <v>89</v>
      </c>
      <c r="K22" s="40" t="n"/>
      <c r="L22" s="40" t="inlineStr">
        <is>
          <t>Q2-2026</t>
        </is>
      </c>
      <c r="M22" s="40" t="n">
        <v>39</v>
      </c>
    </row>
    <row r="23">
      <c r="A23" s="40" t="n">
        <v>41075</v>
      </c>
      <c r="B23" s="40" t="inlineStr">
        <is>
          <t>Autocar EPC - VMRS Search Functionality Rollout</t>
        </is>
      </c>
      <c r="C23" s="40" t="inlineStr">
        <is>
          <t>Closed</t>
        </is>
      </c>
      <c r="D23" s="54" t="n">
        <v>46174</v>
      </c>
      <c r="E23" s="54" t="n">
        <v>46152</v>
      </c>
      <c r="F23" s="54" t="n">
        <v>46183</v>
      </c>
      <c r="G23" s="40" t="inlineStr">
        <is>
          <t>Krishna</t>
        </is>
      </c>
      <c r="H23" s="40" t="inlineStr">
        <is>
          <t>yes</t>
        </is>
      </c>
      <c r="I23" s="40" t="n"/>
      <c r="J23" s="40" t="n"/>
      <c r="K23" s="40" t="n">
        <v>44</v>
      </c>
      <c r="L23" s="40" t="inlineStr">
        <is>
          <t>Q2-2026</t>
        </is>
      </c>
      <c r="M23" s="40" t="n">
        <v>31</v>
      </c>
    </row>
    <row r="24" ht="30" customHeight="1" s="56">
      <c r="A24" s="40" t="n">
        <v>41559</v>
      </c>
      <c r="B24" s="40" t="inlineStr">
        <is>
          <t>Overwrite Images on EPC Website</t>
        </is>
      </c>
      <c r="C24" s="40" t="inlineStr">
        <is>
          <t>Closed</t>
        </is>
      </c>
      <c r="D24" s="54" t="n">
        <v>46174</v>
      </c>
      <c r="E24" s="54" t="n">
        <v>46163</v>
      </c>
      <c r="F24" s="54" t="n">
        <v>46183</v>
      </c>
      <c r="G24" s="40" t="inlineStr">
        <is>
          <t>Krishna</t>
        </is>
      </c>
      <c r="H24" s="40" t="n"/>
      <c r="I24" s="40" t="inlineStr">
        <is>
          <t>yes</t>
        </is>
      </c>
      <c r="J24" s="40" t="n">
        <v>96</v>
      </c>
      <c r="K24" s="40" t="n"/>
      <c r="L24" s="40" t="inlineStr">
        <is>
          <t>Q2-2026</t>
        </is>
      </c>
      <c r="M24" s="40" t="n">
        <v>20</v>
      </c>
    </row>
    <row r="25" ht="30" customHeight="1" s="56">
      <c r="A25" s="40" t="n">
        <v>41725</v>
      </c>
      <c r="B25" s="40" t="inlineStr">
        <is>
          <t>MDM - No longer receiving emails</t>
        </is>
      </c>
      <c r="C25" s="40" t="inlineStr">
        <is>
          <t>Closed</t>
        </is>
      </c>
      <c r="D25" s="54" t="n">
        <v>46174</v>
      </c>
      <c r="E25" s="54" t="n">
        <v>46156</v>
      </c>
      <c r="F25" s="54" t="n">
        <v>46180</v>
      </c>
      <c r="G25" s="40" t="inlineStr">
        <is>
          <t>Krishna</t>
        </is>
      </c>
      <c r="H25" s="40" t="inlineStr">
        <is>
          <t>yes</t>
        </is>
      </c>
      <c r="I25" s="40" t="n"/>
      <c r="J25" s="40" t="n"/>
      <c r="K25" s="40" t="n">
        <v>31</v>
      </c>
      <c r="L25" s="40" t="inlineStr">
        <is>
          <t>Q2-2026</t>
        </is>
      </c>
      <c r="M25" s="40" t="n">
        <v>24</v>
      </c>
    </row>
    <row r="26" ht="30" customHeight="1" s="56"/>
  </sheetData>
  <hyperlinks>
    <hyperlink ref="A1" location="Krishna_OKR_Checklist!A1" display="Krishna_OKR_Checklist!A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17"/>
  <sheetViews>
    <sheetView topLeftCell="A4" workbookViewId="0">
      <selection activeCell="B10" sqref="B10"/>
    </sheetView>
  </sheetViews>
  <sheetFormatPr baseColWidth="8" defaultRowHeight="15"/>
  <cols>
    <col width="23" customWidth="1" style="56" min="1" max="1"/>
    <col width="26" customWidth="1" style="56" min="2" max="2"/>
    <col width="23" customWidth="1" style="56" min="3" max="3"/>
  </cols>
  <sheetData>
    <row r="1">
      <c r="A1" s="49" t="inlineStr">
        <is>
          <t>Krishna_OKR_Checklist!A1</t>
        </is>
      </c>
      <c r="B1" s="18" t="n"/>
    </row>
    <row r="3" ht="17.25" customHeight="1" s="56">
      <c r="A3" s="2" t="inlineStr">
        <is>
          <t>Q2-2026 Summary</t>
        </is>
      </c>
    </row>
    <row r="5">
      <c r="A5" s="25" t="inlineStr">
        <is>
          <t>Metric</t>
        </is>
      </c>
      <c r="B5" s="25" t="inlineStr">
        <is>
          <t>Value</t>
        </is>
      </c>
      <c r="C5" s="25" t="inlineStr">
        <is>
          <t>Achieved/Not Achieved</t>
        </is>
      </c>
    </row>
    <row r="6">
      <c r="A6" t="inlineStr">
        <is>
          <t>Total tickets</t>
        </is>
      </c>
      <c r="B6" t="n">
        <v>20</v>
      </c>
    </row>
    <row r="7">
      <c r="A7" t="inlineStr">
        <is>
          <t>Closed/Resolved</t>
        </is>
      </c>
      <c r="B7" t="n">
        <v>19</v>
      </c>
      <c r="C7" s="50" t="inlineStr">
        <is>
          <t>Yes</t>
        </is>
      </c>
    </row>
    <row r="8">
      <c r="A8" t="inlineStr">
        <is>
          <t>Open / spill</t>
        </is>
      </c>
      <c r="B8" t="n">
        <v>1</v>
      </c>
      <c r="C8" s="19" t="inlineStr">
        <is>
          <t>Yes</t>
        </is>
      </c>
    </row>
    <row r="9">
      <c r="A9" t="inlineStr">
        <is>
          <t>Spill %</t>
        </is>
      </c>
      <c r="B9" t="n">
        <v>4.8</v>
      </c>
      <c r="C9" s="19" t="inlineStr">
        <is>
          <t>Yes</t>
        </is>
      </c>
    </row>
    <row r="10">
      <c r="A10" t="inlineStr">
        <is>
          <t>Code Change tickets</t>
        </is>
      </c>
      <c r="B10" t="n">
        <v>13</v>
      </c>
      <c r="C10" s="19" t="inlineStr">
        <is>
          <t>Yes</t>
        </is>
      </c>
    </row>
    <row r="11">
      <c r="A11" t="inlineStr">
        <is>
          <t>SP Change tickets</t>
        </is>
      </c>
      <c r="B11" t="n">
        <v>12</v>
      </c>
      <c r="C11" s="19" t="inlineStr">
        <is>
          <t>Yes</t>
        </is>
      </c>
    </row>
    <row r="12">
      <c r="A12" t="inlineStr">
        <is>
          <t>Code Lines</t>
        </is>
      </c>
      <c r="B12" t="n">
        <v>790</v>
      </c>
    </row>
    <row r="13">
      <c r="A13" t="inlineStr">
        <is>
          <t>SQL Lines</t>
        </is>
      </c>
      <c r="B13" t="n">
        <v>318</v>
      </c>
    </row>
    <row r="14">
      <c r="A14" t="inlineStr">
        <is>
          <t>Avg Cycle Days</t>
        </is>
      </c>
      <c r="B14" t="n">
        <v>34</v>
      </c>
      <c r="C14" s="19" t="inlineStr">
        <is>
          <t>Yes</t>
        </is>
      </c>
    </row>
    <row r="15">
      <c r="A15" t="inlineStr">
        <is>
          <t>Defect-like themes</t>
        </is>
      </c>
      <c r="B15" t="n">
        <v>2</v>
      </c>
      <c r="C15" s="19" t="inlineStr">
        <is>
          <t>Yes</t>
        </is>
      </c>
    </row>
    <row r="16">
      <c r="A16" t="inlineStr">
        <is>
          <t>Rework proxy count</t>
        </is>
      </c>
      <c r="B16" t="n">
        <v>0</v>
      </c>
      <c r="C16" s="19" t="inlineStr">
        <is>
          <t>Yes</t>
        </is>
      </c>
    </row>
    <row r="17">
      <c r="A17" t="inlineStr">
        <is>
          <t>Delivery target</t>
        </is>
      </c>
      <c r="B17" t="n">
        <v>8</v>
      </c>
    </row>
  </sheetData>
  <hyperlinks>
    <hyperlink ref="A1" location="Krishna_OKR_Checklist!A1" display="Krishna_OKR_Checklist!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2026-09-23T21:54:44Z</dcterms:created>
  <dcterms:modified xmlns:dcterms="http://purl.org/dc/terms/" xmlns:xsi="http://www.w3.org/2001/XMLSchema-instance" xsi:type="dcterms:W3CDTF">2026-10-29T17:59:05Z</dcterms:modified>
  <cp:lastModifiedBy>Pradyot Ranjan</cp:lastModifiedBy>
</cp:coreProperties>
</file>