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Document_Summary" sheetId="1" state="visible" r:id="rId1"/>
    <sheet xmlns:r="http://schemas.openxmlformats.org/officeDocument/2006/relationships" name="KPI_2025" sheetId="2" state="visible" r:id="rId2"/>
    <sheet xmlns:r="http://schemas.openxmlformats.org/officeDocument/2006/relationships" name="KPI_2026" sheetId="3" state="visible" r:id="rId3"/>
    <sheet xmlns:r="http://schemas.openxmlformats.org/officeDocument/2006/relationships" name="OKR_Summary" sheetId="4" state="visible" r:id="rId4"/>
    <sheet xmlns:r="http://schemas.openxmlformats.org/officeDocument/2006/relationships" name="OKR_Checklist_Summary" sheetId="5" state="visible" r:id="rId5"/>
    <sheet xmlns:r="http://schemas.openxmlformats.org/officeDocument/2006/relationships" name="Utkarsh_OKR_Checklist" sheetId="6" state="visible" r:id="rId6"/>
    <sheet xmlns:r="http://schemas.openxmlformats.org/officeDocument/2006/relationships" name="Actual_vs_Achieved_Scorecard" sheetId="7" state="visible" r:id="rId7"/>
    <sheet xmlns:r="http://schemas.openxmlformats.org/officeDocument/2006/relationships" name="Learning_Evidence" sheetId="8" state="visible" r:id="rId8"/>
    <sheet xmlns:r="http://schemas.openxmlformats.org/officeDocument/2006/relationships" name="Ticket_Velocity" sheetId="9" state="visible" r:id="rId9"/>
    <sheet xmlns:r="http://schemas.openxmlformats.org/officeDocument/2006/relationships" name="Ticket_Spillover" sheetId="10" state="visible" r:id="rId10"/>
    <sheet xmlns:r="http://schemas.openxmlformats.org/officeDocument/2006/relationships" name="FirstCut_Quality" sheetId="11" state="visible" r:id="rId11"/>
    <sheet xmlns:r="http://schemas.openxmlformats.org/officeDocument/2006/relationships" name="CodeChange_Summary" sheetId="12" state="visible" r:id="rId12"/>
    <sheet xmlns:r="http://schemas.openxmlformats.org/officeDocument/2006/relationships" name="CodeChange_Tickets" sheetId="13" state="visible" r:id="rId13"/>
    <sheet xmlns:r="http://schemas.openxmlformats.org/officeDocument/2006/relationships" name="Helpdesk_Discipline" sheetId="14" state="visible" r:id="rId14"/>
    <sheet xmlns:r="http://schemas.openxmlformats.org/officeDocument/2006/relationships" name="SLA_CycleDays" sheetId="15" state="visible" r:id="rId15"/>
    <sheet xmlns:r="http://schemas.openxmlformats.org/officeDocument/2006/relationships" name="Customer_Defect_Themes" sheetId="16" state="visible" r:id="rId16"/>
    <sheet xmlns:r="http://schemas.openxmlformats.org/officeDocument/2006/relationships" name="Rework_Reopen_Proxy" sheetId="17" state="visible" r:id="rId17"/>
    <sheet xmlns:r="http://schemas.openxmlformats.org/officeDocument/2006/relationships" name="Tickets_Master_Utkarsh" sheetId="18" state="visible" r:id="rId18"/>
    <sheet xmlns:r="http://schemas.openxmlformats.org/officeDocument/2006/relationships" name="Q3-2025_Tickets" sheetId="19" state="visible" r:id="rId19"/>
    <sheet xmlns:r="http://schemas.openxmlformats.org/officeDocument/2006/relationships" name="Q3-2025_Ticket_Summary" sheetId="20" state="visible" r:id="rId20"/>
    <sheet xmlns:r="http://schemas.openxmlformats.org/officeDocument/2006/relationships" name="Q4-2025_Tickets" sheetId="21" state="visible" r:id="rId21"/>
    <sheet xmlns:r="http://schemas.openxmlformats.org/officeDocument/2006/relationships" name="Q4-2025_Ticket_Summary" sheetId="22" state="visible" r:id="rId22"/>
    <sheet xmlns:r="http://schemas.openxmlformats.org/officeDocument/2006/relationships" name="Q1-2026_Tickets" sheetId="23" state="visible" r:id="rId23"/>
    <sheet xmlns:r="http://schemas.openxmlformats.org/officeDocument/2006/relationships" name="Q1-2026_Ticket_Summary" sheetId="24" state="visible" r:id="rId24"/>
    <sheet xmlns:r="http://schemas.openxmlformats.org/officeDocument/2006/relationships" name="Q2-2026_Tickets" sheetId="25" state="visible" r:id="rId25"/>
    <sheet xmlns:r="http://schemas.openxmlformats.org/officeDocument/2006/relationships" name="Q2-2026_Ticket_Summary" sheetId="26" state="visible" r:id="rId26"/>
  </sheets>
  <definedNames>
    <definedName name="_xlnm._FilterDatabase" localSheetId="0" hidden="1">'Document_Summary'!$A$2:$C$17</definedName>
    <definedName name="_xlnm._FilterDatabase" localSheetId="5" hidden="1">'Utkarsh_OKR_Checklist'!$A$1:$J$31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\ h:mm:ss"/>
  </numFmts>
  <fonts count="20">
    <font>
      <name val="Calibri"/>
      <family val="2"/>
      <color theme="1"/>
      <sz val="11"/>
      <scheme val="minor"/>
    </font>
    <font>
      <name val="Calibri"/>
      <b val="1"/>
      <color rgb="FF002060"/>
      <sz val="13"/>
    </font>
    <font>
      <name val="Calibri"/>
      <family val="2"/>
      <color theme="10"/>
      <sz val="12"/>
      <scheme val="minor"/>
    </font>
    <font>
      <name val="Calibri"/>
      <b val="1"/>
      <sz val="11"/>
    </font>
    <font>
      <name val="Calibri"/>
      <b val="1"/>
      <color rgb="FF002060"/>
      <sz val="14"/>
    </font>
    <font>
      <name val="Calibri"/>
      <b val="1"/>
      <color rgb="FF000000"/>
      <sz val="11"/>
    </font>
    <font>
      <name val="Calibri"/>
      <color rgb="FF0563C1"/>
      <sz val="11"/>
      <u val="single"/>
    </font>
    <font>
      <name val="Calibri"/>
      <color rgb="FF000000"/>
      <sz val="11"/>
    </font>
    <font>
      <name val="Calibri"/>
      <family val="2"/>
      <color theme="0"/>
      <sz val="11"/>
      <scheme val="minor"/>
    </font>
    <font>
      <name val="Calibri"/>
      <b val="1"/>
      <color theme="0"/>
      <sz val="11"/>
    </font>
    <font>
      <name val="Calibri"/>
      <color rgb="FF0563C1"/>
      <sz val="11"/>
      <u val="single"/>
    </font>
    <font>
      <name val="Calibri"/>
      <b val="1"/>
      <sz val="14"/>
    </font>
    <font>
      <name val="Calibri"/>
      <b val="1"/>
      <sz val="16"/>
    </font>
    <font>
      <name val="Calibri"/>
      <color rgb="FF0563C1"/>
      <sz val="11"/>
      <u val="single"/>
    </font>
    <font>
      <name val="Calibri"/>
      <b val="1"/>
      <color rgb="FF002060"/>
      <sz val="11"/>
    </font>
    <font>
      <name val="Calibri"/>
      <b val="1"/>
      <color rgb="FFFFFFFF"/>
      <sz val="11"/>
    </font>
    <font>
      <name val="Calibri"/>
      <b val="1"/>
      <sz val="14"/>
    </font>
    <font>
      <name val="Calibri"/>
      <b val="1"/>
      <color rgb="FF002060"/>
      <sz val="12"/>
    </font>
    <font>
      <name val="Calibri"/>
      <b val="1"/>
      <color rgb="FF002060"/>
      <sz val="14"/>
    </font>
    <font>
      <name val="Calibri"/>
      <b val="1"/>
      <color rgb="FFFFFFFF"/>
      <sz val="11"/>
    </font>
  </fonts>
  <fills count="15">
    <fill>
      <patternFill/>
    </fill>
    <fill>
      <patternFill patternType="gray125"/>
    </fill>
    <fill>
      <patternFill patternType="solid">
        <fgColor rgb="FF002060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1F4E79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002060"/>
      </patternFill>
    </fill>
  </fills>
  <borders count="1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/>
      <top/>
      <bottom style="thin">
        <color rgb="FFB0B0B0"/>
      </bottom>
      <diagonal/>
    </border>
    <border>
      <left/>
      <right/>
      <top/>
      <bottom style="thin">
        <color rgb="FFB0B0B0"/>
      </bottom>
      <diagonal/>
    </border>
    <border>
      <left style="thin">
        <color rgb="FFB0B0B0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</borders>
  <cellStyleXfs count="2">
    <xf numFmtId="0" fontId="0" fillId="0" borderId="0"/>
    <xf numFmtId="0" fontId="2" fillId="0" borderId="0"/>
  </cellStyleXfs>
  <cellXfs count="79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6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8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7" fillId="0" borderId="3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19" fillId="14" borderId="4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 wrapText="1"/>
    </xf>
    <xf numFmtId="2" fontId="0" fillId="0" borderId="4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5" fillId="7" borderId="4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5" fillId="11" borderId="4" applyAlignment="1" pivotButton="0" quotePrefix="0" xfId="0">
      <alignment horizontal="left" vertical="center" wrapText="1"/>
    </xf>
    <xf numFmtId="0" fontId="5" fillId="10" borderId="4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left" vertical="center" wrapText="1"/>
    </xf>
    <xf numFmtId="2" fontId="11" fillId="8" borderId="4" applyAlignment="1" pivotButton="0" quotePrefix="0" xfId="0">
      <alignment horizontal="left" vertical="center" wrapText="1"/>
    </xf>
    <xf numFmtId="0" fontId="0" fillId="13" borderId="4" applyAlignment="1" pivotButton="0" quotePrefix="0" xfId="0">
      <alignment horizontal="left" vertical="center" wrapText="1"/>
    </xf>
    <xf numFmtId="2" fontId="12" fillId="8" borderId="4" applyAlignment="1" pivotButton="0" quotePrefix="0" xfId="0">
      <alignment horizontal="left" vertical="center" wrapText="1"/>
    </xf>
    <xf numFmtId="0" fontId="17" fillId="0" borderId="4" applyAlignment="1" pivotButton="0" quotePrefix="0" xfId="0">
      <alignment horizontal="left" vertical="center" wrapText="1"/>
    </xf>
    <xf numFmtId="0" fontId="5" fillId="4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0" fillId="10" borderId="4" applyAlignment="1" pivotButton="0" quotePrefix="0" xfId="0">
      <alignment horizontal="left" vertical="center" wrapText="1"/>
    </xf>
    <xf numFmtId="0" fontId="6" fillId="0" borderId="4" applyAlignment="1" pivotButton="0" quotePrefix="0" xfId="1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5" fillId="3" borderId="4" applyAlignment="1" pivotButton="0" quotePrefix="0" xfId="0">
      <alignment horizontal="left" vertical="center" wrapText="1"/>
    </xf>
    <xf numFmtId="0" fontId="16" fillId="12" borderId="4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15" fillId="5" borderId="4" applyAlignment="1" pivotButton="0" quotePrefix="0" xfId="0">
      <alignment horizontal="left" vertical="center" wrapText="1"/>
    </xf>
    <xf numFmtId="0" fontId="5" fillId="2" borderId="4" applyAlignment="1" pivotButton="0" quotePrefix="0" xfId="0">
      <alignment horizontal="left" vertical="center" wrapText="1"/>
    </xf>
    <xf numFmtId="0" fontId="2" fillId="0" borderId="4" applyAlignment="1" pivotButton="0" quotePrefix="0" xfId="1">
      <alignment horizontal="left" vertical="center" wrapText="1"/>
    </xf>
    <xf numFmtId="0" fontId="5" fillId="9" borderId="4" applyAlignment="1" pivotButton="0" quotePrefix="0" xfId="0">
      <alignment horizontal="left" vertical="center" wrapText="1"/>
    </xf>
    <xf numFmtId="9" fontId="0" fillId="0" borderId="4" applyAlignment="1" pivotButton="0" quotePrefix="0" xfId="0">
      <alignment horizontal="left" vertical="center" wrapText="1"/>
    </xf>
    <xf numFmtId="164" fontId="19" fillId="14" borderId="4" applyAlignment="1" pivotButton="0" quotePrefix="0" xfId="0">
      <alignment horizontal="left" vertical="center"/>
    </xf>
    <xf numFmtId="164" fontId="0" fillId="0" borderId="4" applyAlignment="1" pivotButton="0" quotePrefix="0" xfId="0">
      <alignment horizontal="left" vertical="center" wrapText="1"/>
    </xf>
    <xf numFmtId="0" fontId="9" fillId="2" borderId="4" applyAlignment="1" pivotButton="0" quotePrefix="0" xfId="0">
      <alignment horizontal="left" vertical="center" wrapText="1"/>
    </xf>
    <xf numFmtId="0" fontId="5" fillId="6" borderId="4" applyAlignment="1" pivotButton="0" quotePrefix="0" xfId="0">
      <alignment horizontal="left" vertical="center" wrapText="1"/>
    </xf>
    <xf numFmtId="165" fontId="0" fillId="0" borderId="4" applyAlignment="1" pivotButton="0" quotePrefix="0" xfId="0">
      <alignment horizontal="left" vertical="center" wrapText="1"/>
    </xf>
    <xf numFmtId="165" fontId="7" fillId="0" borderId="4" applyAlignment="1" pivotButton="0" quotePrefix="0" xfId="0">
      <alignment horizontal="left" vertical="center" wrapText="1"/>
    </xf>
    <xf numFmtId="0" fontId="19" fillId="14" borderId="7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 wrapText="1"/>
    </xf>
    <xf numFmtId="2" fontId="0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 wrapText="1"/>
    </xf>
    <xf numFmtId="0" fontId="5" fillId="11" borderId="2" applyAlignment="1" pivotButton="0" quotePrefix="0" xfId="0">
      <alignment horizontal="left" vertical="center" wrapText="1"/>
    </xf>
    <xf numFmtId="0" fontId="5" fillId="10" borderId="2" applyAlignment="1" pivotButton="0" quotePrefix="0" xfId="0">
      <alignment horizontal="left" vertical="center" wrapText="1"/>
    </xf>
    <xf numFmtId="0" fontId="19" fillId="1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left" vertical="center" wrapText="1"/>
    </xf>
    <xf numFmtId="0" fontId="0" fillId="10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left" vertical="center" wrapText="1"/>
    </xf>
    <xf numFmtId="0" fontId="6" fillId="0" borderId="2" applyAlignment="1" pivotButton="0" quotePrefix="0" xfId="1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3" borderId="4" applyAlignment="1" pivotButton="0" quotePrefix="0" xfId="0">
      <alignment horizontal="left" vertical="center" wrapText="1"/>
    </xf>
    <xf numFmtId="0" fontId="5" fillId="13" borderId="4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3" borderId="1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5" fillId="9" borderId="4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0" fillId="0" borderId="9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helpdesk.gvwgroup.com/Timesheet.do" TargetMode="External" Id="rId1"/><Relationship Type="http://schemas.openxmlformats.org/officeDocument/2006/relationships/hyperlink" Target="https://helpdesk.gvwgroup.com/Timesheet.do" TargetMode="External" Id="rId2"/><Relationship Type="http://schemas.openxmlformats.org/officeDocument/2006/relationships/hyperlink" Target="https://helpdesk.gvwgroup.com/Timesheet.do" TargetMode="External" Id="rId3"/><Relationship Type="http://schemas.openxmlformats.org/officeDocument/2006/relationships/hyperlink" Target="https://helpdesk.gvwgroup.com/Timesheet.do" TargetMode="External" Id="rId4"/><Relationship Type="http://schemas.openxmlformats.org/officeDocument/2006/relationships/hyperlink" Target="https://helpdesk.gvwgroup.com/Timesheet.do" TargetMode="External" Id="rId5"/><Relationship Type="http://schemas.openxmlformats.org/officeDocument/2006/relationships/hyperlink" Target="https://bitbucket.org/msnalashaa/performance-learning-development/src/main/" TargetMode="External" Id="rId6"/><Relationship Type="http://schemas.openxmlformats.org/officeDocument/2006/relationships/hyperlink" Target="https://helpdesk.gvwgroup.com/Timesheet.do" TargetMode="External" Id="rId7"/></Relationships>
</file>

<file path=xl/worksheets/_rels/sheet7.xml.rels><Relationships xmlns="http://schemas.openxmlformats.org/package/2006/relationships"><Relationship Type="http://schemas.openxmlformats.org/officeDocument/2006/relationships/hyperlink" Target="https://helpdesk.gvwgroup.com/Timesheet.do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tbucket.org/msnalashaa/performance-learning-development/src/main/" TargetMode="External" Id="rId1"/><Relationship Type="http://schemas.openxmlformats.org/officeDocument/2006/relationships/hyperlink" Target="https://bitbucket.org/msnalashaa/performance-learning-development/src/main/" TargetMode="External" Id="rId2"/><Relationship Type="http://schemas.openxmlformats.org/officeDocument/2006/relationships/hyperlink" Target="https://bitbucket.org/msnalashaa/performance-learning-development/src/main/" TargetMode="External" Id="rId3"/></Relationships>
</file>

<file path=xl/worksheets/_rels/sheet14.xml.rels><Relationships xmlns="http://schemas.openxmlformats.org/package/2006/relationships"><Relationship Type="http://schemas.openxmlformats.org/officeDocument/2006/relationships/hyperlink" Target="https://helpdesk.gvwgroup.com/Timesheet.do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tabSelected="1" workbookViewId="0">
      <pane ySplit="2" topLeftCell="A3" activePane="bottomLeft" state="frozen"/>
      <selection pane="bottomLeft" activeCell="C17" sqref="C17"/>
    </sheetView>
  </sheetViews>
  <sheetFormatPr baseColWidth="8" defaultRowHeight="15"/>
  <cols>
    <col width="10.140625" bestFit="1" customWidth="1" min="1" max="1"/>
    <col width="23.7109375" bestFit="1" customWidth="1" min="2" max="2"/>
    <col width="75.5703125" customWidth="1" min="3" max="3"/>
  </cols>
  <sheetData>
    <row r="1" ht="18.75" customHeight="1">
      <c r="A1" s="75" t="inlineStr">
        <is>
          <t>Utkarsh OKR checklist — document summary</t>
        </is>
      </c>
      <c r="B1" s="76" t="n"/>
      <c r="C1" s="77" t="n"/>
    </row>
    <row r="2">
      <c r="A2" s="54" t="inlineStr">
        <is>
          <t>Version</t>
        </is>
      </c>
      <c r="B2" s="54" t="inlineStr">
        <is>
          <t>Area</t>
        </is>
      </c>
      <c r="C2" s="54" t="inlineStr">
        <is>
          <t>Change</t>
        </is>
      </c>
    </row>
    <row r="3" ht="30" customHeight="1">
      <c r="A3" s="47" t="inlineStr">
        <is>
          <t>0.1</t>
        </is>
      </c>
      <c r="B3" s="47" t="inlineStr">
        <is>
          <t>Pack</t>
        </is>
      </c>
      <c r="C3" s="47" t="inlineStr">
        <is>
          <t>First linked workbook. KPI_2025 and KPI_2026, OKR checklist, ticket evidence, and learning evidence for Q3-2025 to Q2-2026.</t>
        </is>
      </c>
    </row>
    <row r="4" ht="30" customHeight="1">
      <c r="A4" s="47" t="inlineStr">
        <is>
          <t>0.1</t>
        </is>
      </c>
      <c r="B4" s="47" t="inlineStr">
        <is>
          <t>KPI weight</t>
        </is>
      </c>
      <c r="C4" s="47" t="inlineStr">
        <is>
          <t>Full-year weight kept on each KPI (Project Delivery 58, Process 12, External Bugs 16, Self Learning 14; 2026 Execution 30, Quality 50, Learning 20).</t>
        </is>
      </c>
    </row>
    <row r="5">
      <c r="A5" s="47" t="inlineStr">
        <is>
          <t>0.1</t>
        </is>
      </c>
      <c r="B5" s="47" t="inlineStr">
        <is>
          <t>Score</t>
        </is>
      </c>
      <c r="C5" s="47" t="inlineStr">
        <is>
          <t>Each quarter was shown as 100 out of 100.</t>
        </is>
      </c>
    </row>
    <row r="6" ht="30" customHeight="1">
      <c r="A6" s="47" t="inlineStr">
        <is>
          <t>0.1</t>
        </is>
      </c>
      <c r="B6" s="47" t="inlineStr">
        <is>
          <t>Scope</t>
        </is>
      </c>
      <c r="C6" s="47" t="inlineStr">
        <is>
          <t>Q1-2025 and Q2-2025 ticket sheets were removed. Appraisal scope is Q3-2025, Q4-2025, Q1-2026, and Q2-2026.</t>
        </is>
      </c>
    </row>
    <row r="7" ht="30" customHeight="1">
      <c r="A7" s="47" t="inlineStr">
        <is>
          <t>0.1</t>
        </is>
      </c>
      <c r="B7" s="47" t="inlineStr">
        <is>
          <t>Learning</t>
        </is>
      </c>
      <c r="C7" s="47" t="inlineStr">
        <is>
          <t>Q3 and Q4 2025 Self Learning POC details added on Learning_Evidence (problem, acceptance criteria, tech stack).</t>
        </is>
      </c>
    </row>
    <row r="8" ht="30" customHeight="1">
      <c r="A8" s="47" t="inlineStr">
        <is>
          <t>0.2</t>
        </is>
      </c>
      <c r="B8" s="47" t="inlineStr">
        <is>
          <t>Pack</t>
        </is>
      </c>
      <c r="C8" s="47" t="inlineStr">
        <is>
          <t>Review copy of 0.1. Same full-year weights and 100/100 quarter score. This is the file shared for feedback.</t>
        </is>
      </c>
    </row>
    <row r="9" ht="30" customHeight="1">
      <c r="A9" s="47" t="inlineStr">
        <is>
          <t>0.2</t>
        </is>
      </c>
      <c r="B9" s="47" t="inlineStr">
        <is>
          <t>External bugs</t>
        </is>
      </c>
      <c r="C9" s="47" t="inlineStr">
        <is>
          <t>Defect-theme counts on the external-bug actuals were corrected from the ticket list.</t>
        </is>
      </c>
    </row>
    <row r="10" ht="30" customHeight="1">
      <c r="A10" s="47" t="inlineStr">
        <is>
          <t>0.3</t>
        </is>
      </c>
      <c r="B10" s="47" t="inlineStr">
        <is>
          <t>KPI weight</t>
        </is>
      </c>
      <c r="C10" s="47" t="inlineStr">
        <is>
          <t>Weight is only for the two quarters in scope: annual weight / 4 x 2. Same method as the Smruti checklist. 2025 expected 50. 2026 expected 50.</t>
        </is>
      </c>
    </row>
    <row r="11" ht="30" customHeight="1">
      <c r="A11" s="47" t="inlineStr">
        <is>
          <t>0.3</t>
        </is>
      </c>
      <c r="B11" s="47" t="inlineStr">
        <is>
          <t>Score rule</t>
        </is>
      </c>
      <c r="C11" s="47" t="inlineStr">
        <is>
          <t>A KPI marked Yes gets the full quarter weight (annual / 4). A KPI marked No gets 0. Partial line totals are not used.</t>
        </is>
      </c>
    </row>
    <row r="12" ht="30" customHeight="1">
      <c r="A12" s="47" t="inlineStr">
        <is>
          <t>0.3</t>
        </is>
      </c>
      <c r="B12" s="47" t="inlineStr">
        <is>
          <t>2025 score</t>
        </is>
      </c>
      <c r="C12" s="47" t="inlineStr">
        <is>
          <t>Q3-2025 = 25 and Q4-2025 = 25 (Project Delivery 14.5, Process Adherence 3, External Bugs 4, Self Learning 3.5). 2025 achieved = 50.</t>
        </is>
      </c>
    </row>
    <row r="13" ht="30" customHeight="1">
      <c r="A13" s="47" t="inlineStr">
        <is>
          <t>0.3</t>
        </is>
      </c>
      <c r="B13" s="47" t="inlineStr">
        <is>
          <t>2026 score</t>
        </is>
      </c>
      <c r="C13" s="47" t="inlineStr">
        <is>
          <t>Q1-2026 = 25 and Q2-2026 = 25 (Execution 7.5, Quality 12.5, Learning &amp; Development 5). 2026 achieved = 50. Total achieved = 100.</t>
        </is>
      </c>
    </row>
    <row r="14" ht="30" customHeight="1">
      <c r="A14" s="47" t="inlineStr">
        <is>
          <t>0.3</t>
        </is>
      </c>
      <c r="B14" s="47" t="inlineStr">
        <is>
          <t>PR rejection</t>
        </is>
      </c>
      <c r="C14" s="47" t="inlineStr">
        <is>
          <t>CodeChange_Summary records PR rejection = 0 (0%) for Q3-2025, Q4-2025, Q1-2026, and Q2-2026. Those OKR lines are Yes.</t>
        </is>
      </c>
    </row>
    <row r="15" ht="30" customHeight="1">
      <c r="A15" s="47" t="inlineStr">
        <is>
          <t>0.3</t>
        </is>
      </c>
      <c r="B15" s="47" t="inlineStr">
        <is>
          <t>External bugs</t>
        </is>
      </c>
      <c r="C15" s="47" t="inlineStr">
        <is>
          <t>External Bug Count is Yes. No client-reported defect was recorded (count = 0, limit is 4 or fewer).</t>
        </is>
      </c>
    </row>
    <row r="16" ht="45" customHeight="1">
      <c r="A16" s="47" t="inlineStr">
        <is>
          <t>0.3</t>
        </is>
      </c>
      <c r="B16" s="47" t="inlineStr">
        <is>
          <t>Timesheet and stand-ups</t>
        </is>
      </c>
      <c r="C16" s="47" t="inlineStr">
        <is>
          <t>Timesheets were submitted and stand-up meetings were scheduled and attended. Evidence: Aculocity Helpdesk https://helpdesk.gvwgroup.com/Timesheet.do</t>
        </is>
      </c>
    </row>
    <row r="17">
      <c r="A17" s="47" t="inlineStr">
        <is>
          <t>0.3</t>
        </is>
      </c>
      <c r="B17" s="47" t="inlineStr">
        <is>
          <t>Final score</t>
        </is>
      </c>
      <c r="C17" s="47" t="inlineStr">
        <is>
          <t>Expected 100. Achieved 100 (2025: 50, 2026: 50).</t>
        </is>
      </c>
    </row>
  </sheetData>
  <autoFilter ref="A2:C17"/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zoomScale="112" zoomScaleNormal="112" workbookViewId="0">
      <selection activeCell="A8" sqref="A8:C8"/>
    </sheetView>
  </sheetViews>
  <sheetFormatPr baseColWidth="8" defaultRowHeight="15"/>
  <cols>
    <col width="14" bestFit="1" customWidth="1" min="1" max="1"/>
    <col width="14" customWidth="1" min="2" max="2"/>
    <col width="15" customWidth="1" min="3" max="3"/>
    <col width="14" customWidth="1" min="4" max="14"/>
    <col width="12" customWidth="1" min="15" max="15"/>
    <col width="26" customWidth="1" min="16" max="16"/>
    <col width="12" customWidth="1" min="17" max="18"/>
  </cols>
  <sheetData>
    <row r="1" ht="21.95" customHeight="1">
      <c r="A1" s="46" t="inlineStr">
        <is>
          <t>KPI</t>
        </is>
      </c>
      <c r="B1" s="46" t="inlineStr">
        <is>
          <t>EmployeeID</t>
        </is>
      </c>
      <c r="C1" s="46" t="inlineStr">
        <is>
          <t>EmployeeName</t>
        </is>
      </c>
      <c r="D1" s="46" t="inlineStr">
        <is>
          <t>Weightage</t>
        </is>
      </c>
      <c r="E1" s="46" t="inlineStr">
        <is>
          <t>Year</t>
        </is>
      </c>
      <c r="F1" s="46" t="inlineStr">
        <is>
          <t>Q3Target</t>
        </is>
      </c>
      <c r="G1" s="46" t="inlineStr">
        <is>
          <t>Q3Actual</t>
        </is>
      </c>
      <c r="H1" s="46" t="inlineStr">
        <is>
          <t>Q3Achieved</t>
        </is>
      </c>
      <c r="I1" s="46" t="inlineStr">
        <is>
          <t>OKR Link</t>
        </is>
      </c>
      <c r="J1" s="46" t="inlineStr">
        <is>
          <t>Q4Target</t>
        </is>
      </c>
      <c r="K1" s="46" t="inlineStr">
        <is>
          <t>Q4Actual</t>
        </is>
      </c>
      <c r="L1" s="46" t="inlineStr">
        <is>
          <t>Q4Achieved</t>
        </is>
      </c>
      <c r="M1" s="46" t="inlineStr">
        <is>
          <t>OKR Link</t>
        </is>
      </c>
      <c r="N1" s="46" t="inlineStr">
        <is>
          <t>Title</t>
        </is>
      </c>
    </row>
    <row r="2" ht="72" customHeight="1">
      <c r="A2" s="47" t="inlineStr">
        <is>
          <t>Project Delivery</t>
        </is>
      </c>
      <c r="B2" s="47" t="n">
        <v>1775</v>
      </c>
      <c r="C2" s="47" t="inlineStr">
        <is>
          <t>Utkarsh</t>
        </is>
      </c>
      <c r="D2" s="48">
        <f>58/4*2</f>
        <v/>
      </c>
      <c r="E2" s="47" t="n">
        <v>2025</v>
      </c>
      <c r="F2" s="47" t="inlineStr">
        <is>
          <t>Deliver 3 Helpdesk Plus tickets closed per month on Aculocity MDM/EPC (~9 per quarter; monthly commitment met)</t>
        </is>
      </c>
      <c r="G2" s="49" t="inlineStr">
        <is>
          <t>11 closed (target 9)</t>
        </is>
      </c>
      <c r="H2" s="50" t="inlineStr">
        <is>
          <t>Yes</t>
        </is>
      </c>
      <c r="I2" s="51" t="inlineStr">
        <is>
          <t>Utkarsh_OKR_Checklist!A2</t>
        </is>
      </c>
      <c r="J2" s="47" t="inlineStr">
        <is>
          <t>Deliver 3 Helpdesk Plus tickets closed per month on Aculocity MDM/EPC (~9 per quarter; monthly commitment met)</t>
        </is>
      </c>
      <c r="K2" s="49" t="inlineStr">
        <is>
          <t>11 closed (target 9)</t>
        </is>
      </c>
      <c r="L2" s="50" t="inlineStr">
        <is>
          <t>Yes</t>
        </is>
      </c>
      <c r="M2" s="51" t="inlineStr">
        <is>
          <t>Utkarsh_OKR_Checklist!A11</t>
        </is>
      </c>
      <c r="N2" s="47" t="inlineStr">
        <is>
          <t>SSE</t>
        </is>
      </c>
    </row>
    <row r="3" ht="72" customHeight="1">
      <c r="A3" s="47" t="inlineStr">
        <is>
          <t>Process Adherance</t>
        </is>
      </c>
      <c r="B3" s="47" t="n">
        <v>1775</v>
      </c>
      <c r="C3" s="47" t="inlineStr">
        <is>
          <t>Utkarsh</t>
        </is>
      </c>
      <c r="D3" s="48">
        <f>12/4*2</f>
        <v/>
      </c>
      <c r="E3" s="47" t="n">
        <v>2025</v>
      </c>
      <c r="F3" s="47" t="inlineStr">
        <is>
          <t>More &gt;90% Process Adherence — Timely comments on tickets; Update business; Resolution added on closure; No CAB miss; PR Approval taken; Weekly Timesheet Submit</t>
        </is>
      </c>
      <c r="G3" s="49" t="inlineStr">
        <is>
          <t>Tickets in qtr=13; closed=11 — see Helpdesk_Discipline Timesheet and stand-ups attended. https://helpdesk.gvwgroup.com/Timesheet.do</t>
        </is>
      </c>
      <c r="H3" s="52" t="inlineStr">
        <is>
          <t>Yes</t>
        </is>
      </c>
      <c r="I3" s="51" t="inlineStr">
        <is>
          <t>Utkarsh_OKR_Checklist!A5</t>
        </is>
      </c>
      <c r="J3" s="47" t="inlineStr">
        <is>
          <t>More &gt;90% Process Adherence — Timely comments on tickets; Update business; Resolution added on closure; No CAB miss; PR Approval taken; Weekly Timesheet Submit</t>
        </is>
      </c>
      <c r="K3" s="49" t="inlineStr">
        <is>
          <t>Tickets in qtr=13; closed=11 — see Helpdesk_Discipline Timesheet and stand-ups attended. https://helpdesk.gvwgroup.com/Timesheet.do</t>
        </is>
      </c>
      <c r="L3" s="52" t="inlineStr">
        <is>
          <t>Yes</t>
        </is>
      </c>
      <c r="M3" s="51" t="inlineStr">
        <is>
          <t>Utkarsh_OKR_Checklist!A15</t>
        </is>
      </c>
      <c r="N3" s="47" t="inlineStr">
        <is>
          <t>SSE</t>
        </is>
      </c>
    </row>
    <row r="4" ht="72" customHeight="1">
      <c r="A4" s="47" t="inlineStr">
        <is>
          <t>External Bug Count, Ticket Reopen</t>
        </is>
      </c>
      <c r="B4" s="47" t="n">
        <v>1775</v>
      </c>
      <c r="C4" s="47" t="inlineStr">
        <is>
          <t>Utkarsh</t>
        </is>
      </c>
      <c r="D4" s="48">
        <f>16/4*2</f>
        <v/>
      </c>
      <c r="E4" s="47" t="n">
        <v>2025</v>
      </c>
      <c r="F4" s="47" t="inlineStr">
        <is>
          <t>External bugs (Client reported) to be &lt;= 4 of total tickets delivered in quarter</t>
        </is>
      </c>
      <c r="G4" s="49" t="inlineStr">
        <is>
          <t>Closed=11; defect-themes=0; rework-proxy=0</t>
        </is>
      </c>
      <c r="H4" s="53" t="inlineStr">
        <is>
          <t>Yes</t>
        </is>
      </c>
      <c r="I4" s="51" t="inlineStr">
        <is>
          <t>Utkarsh_OKR_Checklist!A7</t>
        </is>
      </c>
      <c r="J4" s="47" t="inlineStr">
        <is>
          <t>External bugs (Client reported) to be &lt;= 4 of total tickets delivered in quarter</t>
        </is>
      </c>
      <c r="K4" s="49" t="inlineStr">
        <is>
          <t>Closed=11; defect-themes=2; rework-proxy=0</t>
        </is>
      </c>
      <c r="L4" s="53" t="inlineStr">
        <is>
          <t>Yes</t>
        </is>
      </c>
      <c r="M4" s="51" t="inlineStr">
        <is>
          <t>Utkarsh_OKR_Checklist!A17</t>
        </is>
      </c>
      <c r="N4" s="47" t="inlineStr">
        <is>
          <t>SSE</t>
        </is>
      </c>
    </row>
    <row r="5" ht="72" customHeight="1">
      <c r="A5" s="47" t="inlineStr">
        <is>
          <t>Self Learning</t>
        </is>
      </c>
      <c r="B5" s="47" t="n">
        <v>1775</v>
      </c>
      <c r="C5" s="47" t="inlineStr">
        <is>
          <t>Utkarsh</t>
        </is>
      </c>
      <c r="D5" s="48">
        <f>14/4*2</f>
        <v/>
      </c>
      <c r="E5" s="47" t="n">
        <v>2025</v>
      </c>
      <c r="F5" s="47" t="inlineStr">
        <is>
          <t>1 POC submission- Web API &amp; SQL</t>
        </is>
      </c>
      <c r="G5" s="47" t="inlineStr">
        <is>
          <t>POC: Web API &amp; SQL Server Optimization — see Learning_Evidence (problem/AC/tech stack). Plan: learning_and_development_plan_2025.md</t>
        </is>
      </c>
      <c r="H5" s="50" t="inlineStr">
        <is>
          <t>Yes</t>
        </is>
      </c>
      <c r="I5" s="51" t="inlineStr">
        <is>
          <t>Utkarsh_OKR_Checklist!A10</t>
        </is>
      </c>
      <c r="J5" s="47" t="inlineStr">
        <is>
          <t>1 POC submission- Web API &amp; SQL</t>
        </is>
      </c>
      <c r="K5" s="47" t="inlineStr">
        <is>
          <t>POC: .NET API Advancement &amp; Data Integration — see Learning_Evidence (problem/AC/tech stack). Plan: learning_and_development_plan_2025.md</t>
        </is>
      </c>
      <c r="L5" s="50" t="inlineStr">
        <is>
          <t>Yes</t>
        </is>
      </c>
      <c r="M5" s="51" t="inlineStr">
        <is>
          <t>Utkarsh_OKR_Checklist!A20</t>
        </is>
      </c>
      <c r="N5" s="47" t="inlineStr">
        <is>
          <t>SSE</t>
        </is>
      </c>
    </row>
    <row r="6" ht="15.6" customHeight="1">
      <c r="A6" s="13" t="n"/>
      <c r="G6" s="11" t="n"/>
      <c r="H6" s="12" t="n"/>
      <c r="I6" s="4" t="n"/>
      <c r="K6" s="11" t="n"/>
      <c r="L6" s="12" t="n"/>
      <c r="M6" s="4" t="n"/>
    </row>
    <row r="7" ht="36.75" customHeight="1">
      <c r="A7" s="22" t="inlineStr">
        <is>
          <t>2 Quarter Sum (Expected)</t>
        </is>
      </c>
      <c r="B7" s="23">
        <f>SUM(D2:D5)</f>
        <v/>
      </c>
      <c r="C7" s="7" t="n"/>
    </row>
    <row r="8" ht="72" customHeight="1">
      <c r="A8" s="22" t="inlineStr">
        <is>
          <t>Achieved</t>
        </is>
      </c>
      <c r="B8" s="23" t="n">
        <v>50</v>
      </c>
      <c r="C8" s="24" t="inlineStr">
        <is>
          <t>50 = Q3 25 + Q4 25. Rule: Yes = full quarter weight, No = 0. Quarter weight = annual / 4: Project Delivery 14.5, Process 3, External Bugs 4, Self Learning 3.5.</t>
        </is>
      </c>
    </row>
  </sheetData>
  <hyperlinks>
    <hyperlink ref="I2" location="Utkarsh_OKR_Checklist!A2" display="Utkarsh_OKR_Checklist!A2"/>
    <hyperlink ref="M2" location="Utkarsh_OKR_Checklist!A11" display="Utkarsh_OKR_Checklist!A11"/>
    <hyperlink ref="I3" location="Utkarsh_OKR_Checklist!A5" display="Utkarsh_OKR_Checklist!A5"/>
    <hyperlink ref="M3" location="Utkarsh_OKR_Checklist!A15" display="Utkarsh_OKR_Checklist!A15"/>
    <hyperlink ref="I4" location="Utkarsh_OKR_Checklist!A7" display="Utkarsh_OKR_Checklist!A7"/>
    <hyperlink ref="M4" location="Utkarsh_OKR_Checklist!A17" display="Utkarsh_OKR_Checklist!A17"/>
    <hyperlink ref="I5" location="Utkarsh_OKR_Checklist!A10" display="Utkarsh_OKR_Checklist!A10"/>
    <hyperlink ref="M5" location="Utkarsh_OKR_Checklist!A20" display="Utkarsh_OKR_Checklist!A2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"/>
  <sheetViews>
    <sheetView zoomScaleNormal="100" workbookViewId="0">
      <selection activeCell="A4" sqref="A4:O4"/>
    </sheetView>
  </sheetViews>
  <sheetFormatPr baseColWidth="8" defaultRowHeight="15"/>
  <cols>
    <col width="14" customWidth="1" min="1" max="2"/>
    <col width="15" customWidth="1" min="3" max="3"/>
    <col width="14" bestFit="1" customWidth="1" min="4" max="4"/>
    <col width="14" customWidth="1" min="5" max="7"/>
    <col width="14" bestFit="1" customWidth="1" min="8" max="8"/>
    <col width="14" customWidth="1" min="9" max="11"/>
    <col width="14" bestFit="1" customWidth="1" min="12" max="12"/>
    <col width="14" customWidth="1" min="13" max="21"/>
  </cols>
  <sheetData>
    <row r="1" ht="21.95" customHeight="1">
      <c r="A1" s="14" t="inlineStr">
        <is>
          <t>KPI</t>
        </is>
      </c>
      <c r="B1" s="14" t="inlineStr">
        <is>
          <t>EmployeeID</t>
        </is>
      </c>
      <c r="C1" s="14" t="inlineStr">
        <is>
          <t>EmployeeName</t>
        </is>
      </c>
      <c r="D1" s="14" t="inlineStr">
        <is>
          <t>Weightage</t>
        </is>
      </c>
      <c r="E1" s="14" t="inlineStr">
        <is>
          <t>Year</t>
        </is>
      </c>
      <c r="F1" s="14" t="inlineStr">
        <is>
          <t>Q1Target</t>
        </is>
      </c>
      <c r="G1" s="14" t="inlineStr">
        <is>
          <t>Q1Actual</t>
        </is>
      </c>
      <c r="H1" s="14" t="inlineStr">
        <is>
          <t>Q1Achieved</t>
        </is>
      </c>
      <c r="I1" s="14" t="inlineStr">
        <is>
          <t>OKR Link</t>
        </is>
      </c>
      <c r="J1" s="14" t="inlineStr">
        <is>
          <t>Q2Target</t>
        </is>
      </c>
      <c r="K1" s="14" t="inlineStr">
        <is>
          <t>Q2Actual</t>
        </is>
      </c>
      <c r="L1" s="14" t="inlineStr">
        <is>
          <t>Q2Achieved</t>
        </is>
      </c>
      <c r="M1" s="14" t="inlineStr">
        <is>
          <t>OKR Link</t>
        </is>
      </c>
      <c r="N1" s="14" t="inlineStr">
        <is>
          <t>Q3Target</t>
        </is>
      </c>
      <c r="O1" s="14" t="inlineStr">
        <is>
          <t>Q3Actual</t>
        </is>
      </c>
      <c r="P1" s="14" t="inlineStr">
        <is>
          <t>Q3Achieved</t>
        </is>
      </c>
      <c r="Q1" s="14" t="inlineStr">
        <is>
          <t>OKR Link</t>
        </is>
      </c>
      <c r="R1" s="14" t="inlineStr">
        <is>
          <t>Q4Target</t>
        </is>
      </c>
      <c r="S1" s="14" t="inlineStr">
        <is>
          <t>Q4Actual</t>
        </is>
      </c>
      <c r="T1" s="14" t="inlineStr">
        <is>
          <t>Q4Achieved</t>
        </is>
      </c>
      <c r="U1" s="14" t="inlineStr">
        <is>
          <t>OKR Link</t>
        </is>
      </c>
    </row>
    <row r="2" ht="72" customHeight="1">
      <c r="A2" s="15" t="inlineStr">
        <is>
          <t>Execution</t>
        </is>
      </c>
      <c r="B2" s="15" t="n">
        <v>1775</v>
      </c>
      <c r="C2" s="15" t="inlineStr">
        <is>
          <t>Utkarsh</t>
        </is>
      </c>
      <c r="D2" s="16">
        <f>30/4*2</f>
        <v/>
      </c>
      <c r="E2" s="15" t="n">
        <v>2026</v>
      </c>
      <c r="F2" s="15" t="inlineStr">
        <is>
          <t>Deliver 3 Helpdesk Plus tickets closed per month on Aculocity MDM/EPC (monthly commitment met)</t>
        </is>
      </c>
      <c r="G2" s="17" t="inlineStr">
        <is>
          <t>7 closed (target 9) — met &gt;=70% threshold (6+)</t>
        </is>
      </c>
      <c r="H2" s="18" t="inlineStr">
        <is>
          <t>Yes</t>
        </is>
      </c>
      <c r="I2" s="19" t="inlineStr">
        <is>
          <t>Utkarsh_OKR_Checklist!A21</t>
        </is>
      </c>
      <c r="J2" s="15" t="inlineStr">
        <is>
          <t>Deliver 3 Helpdesk Plus tickets closed per month on Aculocity MDM/EPC (monthly commitment met)</t>
        </is>
      </c>
      <c r="K2" s="17" t="inlineStr">
        <is>
          <t>16 closed (target 9)</t>
        </is>
      </c>
      <c r="L2" s="18" t="inlineStr">
        <is>
          <t>Yes</t>
        </is>
      </c>
      <c r="M2" s="19" t="inlineStr">
        <is>
          <t>Utkarsh_OKR_Checklist!A26</t>
        </is>
      </c>
      <c r="N2" s="15" t="inlineStr">
        <is>
          <t>Deliver 3 Helpdesk Plus tickets closed per month on Aculocity MDM/EPC (monthly commitment met)</t>
        </is>
      </c>
      <c r="O2" s="9" t="n"/>
      <c r="P2" s="9" t="n"/>
      <c r="Q2" s="19" t="inlineStr">
        <is>
          <t>Utkarsh_OKR_Checklist!A1</t>
        </is>
      </c>
      <c r="R2" s="15" t="inlineStr">
        <is>
          <t>Deliver 3 Helpdesk Plus tickets closed per month on Aculocity MDM/EPC (monthly commitment met)</t>
        </is>
      </c>
      <c r="S2" s="9" t="n"/>
      <c r="T2" s="9" t="n"/>
      <c r="U2" s="19" t="inlineStr">
        <is>
          <t>Utkarsh_OKR_Checklist!A1</t>
        </is>
      </c>
    </row>
    <row r="3" ht="72" customHeight="1">
      <c r="A3" s="15" t="inlineStr">
        <is>
          <t>Quality</t>
        </is>
      </c>
      <c r="B3" s="15" t="n">
        <v>1775</v>
      </c>
      <c r="C3" s="15" t="inlineStr">
        <is>
          <t>Utkarsh</t>
        </is>
      </c>
      <c r="D3" s="16">
        <f>50/4*2</f>
        <v/>
      </c>
      <c r="E3" s="15" t="n">
        <v>2026</v>
      </c>
      <c r="F3" s="15" t="inlineStr">
        <is>
          <t>Quality Score card &gt;=80% — rework/reopen &lt;5%, Production Defect Leakage &lt;1, PR rejection &lt;10%, estimation deviation &lt;10%; Process Adherence (&gt;=90%): Timely comments on tickets; Update business; Resolution added on closure; No CAB miss; PR Approval taken; Weekly Timesheet Submit</t>
        </is>
      </c>
      <c r="G3" s="17" t="inlineStr">
        <is>
          <t>Closed=7; defect-themes=1; rework-proxy=0 (0.0%)</t>
        </is>
      </c>
      <c r="H3" s="18" t="inlineStr">
        <is>
          <t>Yes</t>
        </is>
      </c>
      <c r="I3" s="19" t="inlineStr">
        <is>
          <t>Utkarsh_OKR_Checklist!A22</t>
        </is>
      </c>
      <c r="J3" s="15" t="inlineStr">
        <is>
          <t>Quality Score card &gt;=80% — rework/reopen &lt;5%, Production Defect Leakage &lt;1, PR rejection &lt;10%, estimation deviation &lt;10%; Process Adherence (&gt;=90%): Timely comments on tickets; Update business; Resolution added on closure; No CAB miss; PR Approval taken; Weekly Timesheet Submit</t>
        </is>
      </c>
      <c r="K3" s="17" t="inlineStr">
        <is>
          <t>Closed=16; defect-themes=2; rework-proxy=0 (0.0%)</t>
        </is>
      </c>
      <c r="L3" s="18" t="inlineStr">
        <is>
          <t>Yes</t>
        </is>
      </c>
      <c r="M3" s="19" t="inlineStr">
        <is>
          <t>Utkarsh_OKR_Checklist!A27</t>
        </is>
      </c>
      <c r="N3" s="15" t="inlineStr">
        <is>
          <t>Quality Score card &gt;=85% — rework/reopen &lt;5%, Production Defect Leakage &lt;1, PR rejection &lt;10%, estimation deviation &lt;10%; Process Adherence (&gt;=90%): Timely comments on tickets; Update business; Resolution added on closure; No CAB miss; PR Approval taken; Weekly Timesheet Submit</t>
        </is>
      </c>
      <c r="O3" s="9" t="n"/>
      <c r="P3" s="9" t="n"/>
      <c r="Q3" s="19" t="inlineStr">
        <is>
          <t>Utkarsh_OKR_Checklist!A1</t>
        </is>
      </c>
      <c r="R3" s="15" t="inlineStr">
        <is>
          <t>Quality Score card &gt;=85% — rework/reopen &lt;5%, Production Defect Leakage &lt;1, PR rejection &lt;10%, estimation deviation &lt;10%; Process Adherence (&gt;=90%): Timely comments on tickets; Update business; Resolution added on closure; No CAB miss; PR Approval taken; Weekly Timesheet Submit</t>
        </is>
      </c>
      <c r="S3" s="9" t="n"/>
      <c r="T3" s="9" t="n"/>
      <c r="U3" s="19" t="inlineStr">
        <is>
          <t>Utkarsh_OKR_Checklist!A1</t>
        </is>
      </c>
    </row>
    <row r="4" ht="72" customHeight="1">
      <c r="A4" s="15" t="inlineStr">
        <is>
          <t>Learning &amp; Development</t>
        </is>
      </c>
      <c r="B4" s="15" t="n">
        <v>1775</v>
      </c>
      <c r="C4" s="15" t="inlineStr">
        <is>
          <t>Utkarsh</t>
        </is>
      </c>
      <c r="D4" s="16">
        <f>20/4*2</f>
        <v/>
      </c>
      <c r="E4" s="15" t="n">
        <v>2026</v>
      </c>
      <c r="F4" s="15" t="inlineStr">
        <is>
          <t>Deliver &gt;1 AI/Automation initiative through AI assisted/driven to achieve &gt;10% optimization in any of SDLC process</t>
        </is>
      </c>
      <c r="G4" s="17" t="inlineStr">
        <is>
          <t>POC in Bitbucket: https://bitbucket.org/msnalashaa/performance-learning-development/src/main/</t>
        </is>
      </c>
      <c r="H4" s="18" t="inlineStr">
        <is>
          <t>Yes</t>
        </is>
      </c>
      <c r="I4" s="19" t="inlineStr">
        <is>
          <t>Utkarsh_OKR_Checklist!A25</t>
        </is>
      </c>
      <c r="J4" s="15" t="inlineStr">
        <is>
          <t>Deliver &gt;1 AI/Automation initiative through AI assisted/driven to achieve &gt;10% optimization in any of SDLC process</t>
        </is>
      </c>
      <c r="K4" s="17" t="inlineStr">
        <is>
          <t>POC in Bitbucket: https://bitbucket.org/msnalashaa/performance-learning-development/src/main/</t>
        </is>
      </c>
      <c r="L4" s="18" t="inlineStr">
        <is>
          <t>Yes</t>
        </is>
      </c>
      <c r="M4" s="19" t="inlineStr">
        <is>
          <t>Utkarsh_OKR_Checklist!A30</t>
        </is>
      </c>
      <c r="N4" s="15" t="inlineStr">
        <is>
          <t>Complete 1 certifications/courses shared in email (or) achieve 85% by delivering at least 1 AI/Automation initiative during the quarter</t>
        </is>
      </c>
      <c r="O4" s="9" t="n"/>
      <c r="P4" s="9" t="n"/>
      <c r="Q4" s="19" t="inlineStr">
        <is>
          <t>Utkarsh_OKR_Checklist!A1</t>
        </is>
      </c>
      <c r="R4" s="15" t="inlineStr">
        <is>
          <t>Complete 1 certifications/courses shared in email (or) achieve 85% by delivering at least 1 AI/Automation initiative during the quarter</t>
        </is>
      </c>
      <c r="S4" s="9" t="n"/>
      <c r="T4" s="9" t="n"/>
      <c r="U4" s="19" t="inlineStr">
        <is>
          <t>Utkarsh_OKR_Checklist!A1</t>
        </is>
      </c>
    </row>
    <row r="5" ht="43.15" customHeight="1">
      <c r="A5" s="13" t="n"/>
      <c r="G5" s="11" t="n"/>
      <c r="H5" s="12" t="n"/>
      <c r="I5" s="4" t="n"/>
      <c r="K5" s="4" t="n"/>
      <c r="L5" s="12" t="n"/>
      <c r="M5" s="4" t="n"/>
      <c r="O5" s="11" t="n"/>
      <c r="P5" s="11" t="n"/>
      <c r="Q5" s="4" t="n"/>
      <c r="S5" s="11" t="n"/>
      <c r="T5" s="11" t="n"/>
      <c r="U5" s="4" t="n"/>
    </row>
    <row r="6" ht="33.75" customHeight="1">
      <c r="A6" s="22" t="inlineStr">
        <is>
          <t>Expected Score (2 Qtr)</t>
        </is>
      </c>
      <c r="B6" s="23">
        <f>SUM(D2:D4)</f>
        <v/>
      </c>
    </row>
    <row r="7" ht="72" customHeight="1">
      <c r="A7" s="22" t="inlineStr">
        <is>
          <t>Achieved</t>
        </is>
      </c>
      <c r="B7" s="23" t="n">
        <v>50</v>
      </c>
      <c r="C7" s="24" t="inlineStr">
        <is>
          <t>50 = Q1 25 + Q2 25. Rule: Yes = full quarter weight, No = 0. Quarter weight = annual / 4: Execution 7.5, Quality 12.5, Learning &amp; Development 5.</t>
        </is>
      </c>
    </row>
    <row r="8" ht="21" customHeight="1">
      <c r="A8" s="22" t="inlineStr">
        <is>
          <t>Total (2025 Achieved + 2026 Achieved)</t>
        </is>
      </c>
      <c r="B8" s="25">
        <f>KPI_2025!B8+B7</f>
        <v/>
      </c>
    </row>
  </sheetData>
  <hyperlinks>
    <hyperlink ref="I2" location="Utkarsh_OKR_Checklist!A21" display="Utkarsh_OKR_Checklist!A21"/>
    <hyperlink ref="M2" location="Utkarsh_OKR_Checklist!A26" display="Utkarsh_OKR_Checklist!A26"/>
    <hyperlink ref="Q2" location="Utkarsh_OKR_Checklist!A1" display="Utkarsh_OKR_Checklist!A1"/>
    <hyperlink ref="U2" location="Utkarsh_OKR_Checklist!A1" display="Utkarsh_OKR_Checklist!A1"/>
    <hyperlink ref="I3" location="Utkarsh_OKR_Checklist!A22" display="Utkarsh_OKR_Checklist!A22"/>
    <hyperlink ref="M3" location="Utkarsh_OKR_Checklist!A27" display="Utkarsh_OKR_Checklist!A27"/>
    <hyperlink ref="Q3" location="Utkarsh_OKR_Checklist!A1" display="Utkarsh_OKR_Checklist!A1"/>
    <hyperlink ref="U3" location="Utkarsh_OKR_Checklist!A1" display="Utkarsh_OKR_Checklist!A1"/>
    <hyperlink ref="I4" location="Utkarsh_OKR_Checklist!A25" display="Utkarsh_OKR_Checklist!A25"/>
    <hyperlink ref="M4" location="Utkarsh_OKR_Checklist!A30" display="Utkarsh_OKR_Checklist!A30"/>
    <hyperlink ref="Q4" location="Utkarsh_OKR_Checklist!A1" display="Utkarsh_OKR_Checklist!A1"/>
    <hyperlink ref="U4" location="Utkarsh_OKR_Checklist!A1" display="Utkarsh_OKR_Checklist!A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topLeftCell="A3" workbookViewId="0">
      <selection activeCell="A3" sqref="A3:F27"/>
    </sheetView>
  </sheetViews>
  <sheetFormatPr baseColWidth="8" defaultRowHeight="15"/>
  <cols>
    <col width="14" customWidth="1" min="1" max="6"/>
    <col width="18" customWidth="1" min="7" max="7"/>
  </cols>
  <sheetData>
    <row r="1" ht="72" customHeight="1">
      <c r="A1" s="26" t="inlineStr">
        <is>
          <t>Utkarsh OKR weightage. Yes = full weight of that line. No = 0. Each in-scope quarter totals 25.</t>
        </is>
      </c>
    </row>
    <row r="3" ht="21.95" customHeight="1">
      <c r="A3" s="14" t="inlineStr">
        <is>
          <t>KPI / Met?</t>
        </is>
      </c>
      <c r="B3" s="14" t="inlineStr">
        <is>
          <t>Q3-2025</t>
        </is>
      </c>
      <c r="C3" s="14" t="inlineStr">
        <is>
          <t>Q4-2025</t>
        </is>
      </c>
      <c r="D3" s="14" t="inlineStr">
        <is>
          <t>Q1-2026</t>
        </is>
      </c>
      <c r="E3" s="14" t="inlineStr">
        <is>
          <t>Q2-2026</t>
        </is>
      </c>
      <c r="F3" s="14" t="inlineStr">
        <is>
          <t>Grand Total</t>
        </is>
      </c>
    </row>
    <row r="4" ht="30" customHeight="1">
      <c r="A4" s="15" t="inlineStr">
        <is>
          <t>Project Delivery</t>
        </is>
      </c>
    </row>
    <row r="5">
      <c r="A5" s="15" t="inlineStr">
        <is>
          <t>Yes</t>
        </is>
      </c>
      <c r="B5" s="15" t="n">
        <v>14.5</v>
      </c>
      <c r="C5" s="15" t="n">
        <v>14.5</v>
      </c>
      <c r="F5" s="15" t="n">
        <v>29</v>
      </c>
    </row>
    <row r="6">
      <c r="A6" s="15" t="inlineStr">
        <is>
          <t>No</t>
        </is>
      </c>
    </row>
    <row r="7" ht="30" customHeight="1">
      <c r="A7" s="15" t="inlineStr">
        <is>
          <t>Process Adherance</t>
        </is>
      </c>
    </row>
    <row r="8">
      <c r="A8" s="15" t="inlineStr">
        <is>
          <t>Yes</t>
        </is>
      </c>
      <c r="B8" s="15" t="n">
        <v>3</v>
      </c>
      <c r="C8" s="15" t="n">
        <v>3</v>
      </c>
      <c r="F8" s="15" t="n">
        <v>6</v>
      </c>
    </row>
    <row r="9">
      <c r="A9" s="15" t="inlineStr">
        <is>
          <t>No</t>
        </is>
      </c>
    </row>
    <row r="10" ht="45" customHeight="1">
      <c r="A10" s="15" t="inlineStr">
        <is>
          <t>External Bug Count, Ticket Reopen</t>
        </is>
      </c>
    </row>
    <row r="11">
      <c r="A11" s="15" t="inlineStr">
        <is>
          <t>Yes</t>
        </is>
      </c>
      <c r="B11" s="15" t="n">
        <v>4</v>
      </c>
      <c r="C11" s="15" t="n">
        <v>4</v>
      </c>
      <c r="F11" s="15" t="n">
        <v>8</v>
      </c>
    </row>
    <row r="12">
      <c r="A12" s="15" t="inlineStr">
        <is>
          <t>No</t>
        </is>
      </c>
    </row>
    <row r="13">
      <c r="A13" s="15" t="inlineStr">
        <is>
          <t>Self Learning</t>
        </is>
      </c>
    </row>
    <row r="14">
      <c r="A14" s="15" t="inlineStr">
        <is>
          <t>Yes</t>
        </is>
      </c>
      <c r="B14" s="15" t="n">
        <v>3.5</v>
      </c>
      <c r="C14" s="15" t="n">
        <v>3.5</v>
      </c>
      <c r="F14" s="15" t="n">
        <v>7</v>
      </c>
    </row>
    <row r="15">
      <c r="A15" s="15" t="inlineStr">
        <is>
          <t>No</t>
        </is>
      </c>
    </row>
    <row r="16">
      <c r="A16" s="15" t="inlineStr">
        <is>
          <t>Execution</t>
        </is>
      </c>
    </row>
    <row r="17">
      <c r="A17" s="15" t="inlineStr">
        <is>
          <t>Yes</t>
        </is>
      </c>
      <c r="D17" s="15" t="n">
        <v>7.5</v>
      </c>
      <c r="E17" s="15" t="n">
        <v>7.5</v>
      </c>
      <c r="F17" s="15" t="n">
        <v>15</v>
      </c>
    </row>
    <row r="18">
      <c r="A18" s="15" t="inlineStr">
        <is>
          <t>No</t>
        </is>
      </c>
    </row>
    <row r="19">
      <c r="A19" s="15" t="inlineStr">
        <is>
          <t>Quality</t>
        </is>
      </c>
    </row>
    <row r="20">
      <c r="A20" s="15" t="inlineStr">
        <is>
          <t>Yes</t>
        </is>
      </c>
      <c r="D20" s="15" t="n">
        <v>12.5</v>
      </c>
      <c r="E20" s="15" t="n">
        <v>12.5</v>
      </c>
      <c r="F20" s="15" t="n">
        <v>25</v>
      </c>
    </row>
    <row r="21">
      <c r="A21" s="15" t="inlineStr">
        <is>
          <t>No</t>
        </is>
      </c>
    </row>
    <row r="22" ht="30" customHeight="1">
      <c r="A22" s="15" t="inlineStr">
        <is>
          <t>Learning &amp; Development</t>
        </is>
      </c>
    </row>
    <row r="23">
      <c r="A23" s="15" t="inlineStr">
        <is>
          <t>Yes</t>
        </is>
      </c>
      <c r="D23" s="15" t="n">
        <v>5</v>
      </c>
      <c r="E23" s="15" t="n">
        <v>5</v>
      </c>
      <c r="F23" s="15" t="n">
        <v>10</v>
      </c>
    </row>
    <row r="24">
      <c r="A24" s="15" t="inlineStr">
        <is>
          <t>No</t>
        </is>
      </c>
    </row>
    <row r="25">
      <c r="A25" s="15" t="inlineStr">
        <is>
          <t>Grand Total</t>
        </is>
      </c>
      <c r="B25" s="15" t="n">
        <v>25</v>
      </c>
      <c r="C25" s="15" t="n">
        <v>25</v>
      </c>
      <c r="D25" s="15" t="n">
        <v>25</v>
      </c>
      <c r="E25" s="15" t="n">
        <v>25</v>
      </c>
      <c r="F25" s="15" t="n">
        <v>100</v>
      </c>
    </row>
    <row r="27" ht="30" customHeight="1">
      <c r="A27" s="15" t="inlineStr">
        <is>
          <t>Final score</t>
        </is>
      </c>
      <c r="B27" s="15" t="inlineStr">
        <is>
          <t>2025 achieved (Q3+Q4)</t>
        </is>
      </c>
      <c r="C27" s="15" t="n">
        <v>50</v>
      </c>
      <c r="D27" s="15" t="inlineStr">
        <is>
          <t>2026 achieved (Q1+Q2)</t>
        </is>
      </c>
      <c r="E27" s="15" t="n">
        <v>50</v>
      </c>
      <c r="F27" s="15" t="inlineStr">
        <is>
          <t>Total achieved</t>
        </is>
      </c>
      <c r="G27" s="15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4"/>
  </cols>
  <sheetData>
    <row r="1" ht="72" customHeight="1">
      <c r="A1" s="26" t="inlineStr">
        <is>
          <t>Utkarsh OKR checklist summary. Yes takes the full line weight. No takes 0.</t>
        </is>
      </c>
    </row>
    <row r="3" ht="21.95" customHeight="1">
      <c r="A3" s="14" t="inlineStr">
        <is>
          <t>Quarter / KPI</t>
        </is>
      </c>
      <c r="B3" s="14" t="inlineStr">
        <is>
          <t>No</t>
        </is>
      </c>
      <c r="C3" s="14" t="inlineStr">
        <is>
          <t>Yes</t>
        </is>
      </c>
      <c r="D3" s="14" t="inlineStr">
        <is>
          <t>Grand Total</t>
        </is>
      </c>
    </row>
    <row r="4">
      <c r="A4" s="15" t="inlineStr">
        <is>
          <t>Q3-2025</t>
        </is>
      </c>
      <c r="C4" s="15" t="n">
        <v>25</v>
      </c>
      <c r="D4" s="15" t="n">
        <v>25</v>
      </c>
    </row>
    <row r="5" ht="30" customHeight="1">
      <c r="A5" s="15" t="inlineStr">
        <is>
          <t xml:space="preserve">  Project Delivery</t>
        </is>
      </c>
      <c r="C5" s="15" t="n">
        <v>14.5</v>
      </c>
      <c r="D5" s="15" t="n">
        <v>14.5</v>
      </c>
    </row>
    <row r="6" ht="30" customHeight="1">
      <c r="A6" s="15" t="inlineStr">
        <is>
          <t xml:space="preserve">  Process Adherance</t>
        </is>
      </c>
      <c r="C6" s="15" t="n">
        <v>3</v>
      </c>
      <c r="D6" s="15" t="n">
        <v>3</v>
      </c>
    </row>
    <row r="7" ht="45" customHeight="1">
      <c r="A7" s="15" t="inlineStr">
        <is>
          <t xml:space="preserve">  External Bug Count, Ticket Reopen</t>
        </is>
      </c>
      <c r="C7" s="15" t="n">
        <v>4</v>
      </c>
      <c r="D7" s="15" t="n">
        <v>4</v>
      </c>
    </row>
    <row r="8">
      <c r="A8" s="15" t="inlineStr">
        <is>
          <t xml:space="preserve">  Self Learning</t>
        </is>
      </c>
      <c r="C8" s="15" t="n">
        <v>3.5</v>
      </c>
      <c r="D8" s="15" t="n">
        <v>3.5</v>
      </c>
    </row>
    <row r="9">
      <c r="A9" s="15" t="inlineStr">
        <is>
          <t>Q4-2025</t>
        </is>
      </c>
      <c r="C9" s="15" t="n">
        <v>25</v>
      </c>
      <c r="D9" s="15" t="n">
        <v>25</v>
      </c>
    </row>
    <row r="10" ht="30" customHeight="1">
      <c r="A10" s="15" t="inlineStr">
        <is>
          <t xml:space="preserve">  Project Delivery</t>
        </is>
      </c>
      <c r="C10" s="15" t="n">
        <v>14.5</v>
      </c>
      <c r="D10" s="15" t="n">
        <v>14.5</v>
      </c>
    </row>
    <row r="11" ht="30" customHeight="1">
      <c r="A11" s="15" t="inlineStr">
        <is>
          <t xml:space="preserve">  Process Adherance</t>
        </is>
      </c>
      <c r="C11" s="15" t="n">
        <v>3</v>
      </c>
      <c r="D11" s="15" t="n">
        <v>3</v>
      </c>
    </row>
    <row r="12" ht="45" customHeight="1">
      <c r="A12" s="15" t="inlineStr">
        <is>
          <t xml:space="preserve">  External Bug Count, Ticket Reopen</t>
        </is>
      </c>
      <c r="C12" s="15" t="n">
        <v>4</v>
      </c>
      <c r="D12" s="15" t="n">
        <v>4</v>
      </c>
    </row>
    <row r="13">
      <c r="A13" s="15" t="inlineStr">
        <is>
          <t xml:space="preserve">  Self Learning</t>
        </is>
      </c>
      <c r="C13" s="15" t="n">
        <v>3.5</v>
      </c>
      <c r="D13" s="15" t="n">
        <v>3.5</v>
      </c>
    </row>
    <row r="14">
      <c r="A14" s="15" t="inlineStr">
        <is>
          <t>Q1-2026</t>
        </is>
      </c>
      <c r="C14" s="15" t="n">
        <v>25</v>
      </c>
      <c r="D14" s="15" t="n">
        <v>25</v>
      </c>
    </row>
    <row r="15">
      <c r="A15" s="15" t="inlineStr">
        <is>
          <t xml:space="preserve">  Execution</t>
        </is>
      </c>
      <c r="C15" s="15" t="n">
        <v>7.5</v>
      </c>
      <c r="D15" s="15" t="n">
        <v>7.5</v>
      </c>
    </row>
    <row r="16">
      <c r="A16" s="15" t="inlineStr">
        <is>
          <t xml:space="preserve">  Quality</t>
        </is>
      </c>
      <c r="C16" s="15" t="n">
        <v>12.5</v>
      </c>
      <c r="D16" s="15" t="n">
        <v>12.5</v>
      </c>
    </row>
    <row r="17" ht="30" customHeight="1">
      <c r="A17" s="15" t="inlineStr">
        <is>
          <t xml:space="preserve">  Learning &amp; Development</t>
        </is>
      </c>
      <c r="C17" s="15" t="n">
        <v>5</v>
      </c>
      <c r="D17" s="15" t="n">
        <v>5</v>
      </c>
    </row>
    <row r="18">
      <c r="A18" s="15" t="inlineStr">
        <is>
          <t>Q2-2026</t>
        </is>
      </c>
      <c r="C18" s="15" t="n">
        <v>25</v>
      </c>
      <c r="D18" s="15" t="n">
        <v>25</v>
      </c>
    </row>
    <row r="19">
      <c r="A19" s="15" t="inlineStr">
        <is>
          <t xml:space="preserve">  Execution</t>
        </is>
      </c>
      <c r="C19" s="15" t="n">
        <v>7.5</v>
      </c>
      <c r="D19" s="15" t="n">
        <v>7.5</v>
      </c>
    </row>
    <row r="20">
      <c r="A20" s="15" t="inlineStr">
        <is>
          <t xml:space="preserve">  Quality</t>
        </is>
      </c>
      <c r="C20" s="15" t="n">
        <v>12.5</v>
      </c>
      <c r="D20" s="15" t="n">
        <v>12.5</v>
      </c>
    </row>
    <row r="21" ht="30" customHeight="1">
      <c r="A21" s="15" t="inlineStr">
        <is>
          <t xml:space="preserve">  Learning &amp; Development</t>
        </is>
      </c>
      <c r="C21" s="15" t="n">
        <v>5</v>
      </c>
      <c r="D21" s="15" t="n">
        <v>5</v>
      </c>
    </row>
    <row r="22">
      <c r="A22" s="15" t="inlineStr">
        <is>
          <t>Grand Total</t>
        </is>
      </c>
      <c r="C22" s="15" t="n">
        <v>100</v>
      </c>
      <c r="D22" s="15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15" activePane="bottomLeft" state="frozen"/>
      <selection pane="bottomLeft" activeCell="A1" sqref="A1:J30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14" customWidth="1" min="4" max="5"/>
    <col width="19" customWidth="1" min="6" max="6"/>
    <col width="14" customWidth="1" min="7" max="8"/>
    <col width="23" customWidth="1" min="9" max="9"/>
    <col width="16" customWidth="1" min="10" max="10"/>
  </cols>
  <sheetData>
    <row r="1" ht="21.95" customHeight="1">
      <c r="A1" s="54" t="inlineStr">
        <is>
          <t>Employee Name</t>
        </is>
      </c>
      <c r="B1" s="54" t="inlineStr">
        <is>
          <t>Quarter</t>
        </is>
      </c>
      <c r="C1" s="54" t="inlineStr">
        <is>
          <t>KPI Affected</t>
        </is>
      </c>
      <c r="D1" s="54" t="inlineStr">
        <is>
          <t>OKR Met?</t>
        </is>
      </c>
      <c r="E1" s="54" t="inlineStr">
        <is>
          <t>Weightage</t>
        </is>
      </c>
      <c r="F1" s="54" t="inlineStr">
        <is>
          <t>Artifacts to OKR</t>
        </is>
      </c>
      <c r="G1" s="54" t="inlineStr">
        <is>
          <t>Other Links</t>
        </is>
      </c>
      <c r="H1" s="54" t="inlineStr">
        <is>
          <t>OKRs</t>
        </is>
      </c>
      <c r="I1" s="54" t="inlineStr">
        <is>
          <t>Deliverable Expected</t>
        </is>
      </c>
      <c r="J1" s="54" t="inlineStr">
        <is>
          <t>Evidence Note</t>
        </is>
      </c>
    </row>
    <row r="2" ht="72" customHeight="1">
      <c r="A2" s="47" t="inlineStr">
        <is>
          <t>Utkarsh</t>
        </is>
      </c>
      <c r="B2" s="47" t="inlineStr">
        <is>
          <t>Q3-2025</t>
        </is>
      </c>
      <c r="C2" s="47" t="inlineStr">
        <is>
          <t>Project Delivery</t>
        </is>
      </c>
      <c r="D2" s="55" t="inlineStr">
        <is>
          <t>Yes</t>
        </is>
      </c>
      <c r="E2" s="47" t="n">
        <v>8.5</v>
      </c>
      <c r="F2" s="51" t="inlineStr">
        <is>
          <t>Q3-2025_Ticket_Summary!A1</t>
        </is>
      </c>
      <c r="G2" s="8" t="n"/>
      <c r="H2" s="47" t="inlineStr">
        <is>
          <t>Timely Delivery: Complete assigned tasks on or before deadlines. Not more than &gt; 2 slippages in tasks in Release or Quarter</t>
        </is>
      </c>
      <c r="I2" s="47" t="inlineStr">
        <is>
          <t>Timely delivery of assigned Helpdesk Plus tickets with no slippages; closure within planned Month</t>
        </is>
      </c>
      <c r="J2" s="49" t="inlineStr">
        <is>
          <t>Master Q3-2025: total=13 closed=11 open=2 (target 9; Yes if &gt;=9 or &gt;=6)</t>
        </is>
      </c>
    </row>
    <row r="3" ht="72" customHeight="1">
      <c r="A3" s="47" t="inlineStr">
        <is>
          <t>Utkarsh</t>
        </is>
      </c>
      <c r="B3" s="47" t="inlineStr">
        <is>
          <t>Q3-2025</t>
        </is>
      </c>
      <c r="C3" s="47" t="inlineStr">
        <is>
          <t>Project Delivery</t>
        </is>
      </c>
      <c r="D3" s="55" t="inlineStr">
        <is>
          <t>Yes</t>
        </is>
      </c>
      <c r="E3" s="47" t="n">
        <v>3</v>
      </c>
      <c r="F3" s="51" t="inlineStr">
        <is>
          <t>Q3-2025_Ticket_Summary!A1</t>
        </is>
      </c>
      <c r="G3" s="8" t="n"/>
      <c r="H3" s="47" t="inlineStr">
        <is>
          <t>Estimation Accuracy: Provide task estimations with no more than ±10% deviation from the original estimate.</t>
        </is>
      </c>
      <c r="I3" s="47" t="inlineStr">
        <is>
          <t>No material deviations in estimation; improve over the quarter</t>
        </is>
      </c>
      <c r="J3" s="49" t="inlineStr">
        <is>
          <t>Master Q3-2025: total=13 closed=11 open=2 (target 9; Yes if &gt;=9 or &gt;=6)</t>
        </is>
      </c>
    </row>
    <row r="4" ht="72" customHeight="1">
      <c r="A4" s="47" t="inlineStr">
        <is>
          <t>Utkarsh</t>
        </is>
      </c>
      <c r="B4" s="47" t="inlineStr">
        <is>
          <t>Q3-2025</t>
        </is>
      </c>
      <c r="C4" s="47" t="inlineStr">
        <is>
          <t>Project Delivery</t>
        </is>
      </c>
      <c r="D4" s="53" t="inlineStr">
        <is>
          <t>Yes</t>
        </is>
      </c>
      <c r="E4" s="47" t="n">
        <v>3</v>
      </c>
      <c r="F4" s="51" t="inlineStr">
        <is>
          <t>CodeChange_Summary!A1</t>
        </is>
      </c>
      <c r="G4" s="8" t="n"/>
      <c r="H4" s="47" t="inlineStr">
        <is>
          <t>Quality delivery: Unit testing on .NET/SQL; no critical/major issues in first cut; review comments on each PR where Code Change=yes</t>
        </is>
      </c>
      <c r="I4" s="47" t="inlineStr">
        <is>
          <t>100% code review for Code Change tickets; not more than &gt;10% overall rework</t>
        </is>
      </c>
      <c r="J4" s="49" t="inlineStr">
        <is>
          <t>PR rejection = 0 on CodeChange_Summary. Review/rejection threshold met.</t>
        </is>
      </c>
    </row>
    <row r="5" ht="72" customHeight="1">
      <c r="A5" s="47" t="inlineStr">
        <is>
          <t>Utkarsh</t>
        </is>
      </c>
      <c r="B5" s="47" t="inlineStr">
        <is>
          <t>Q3-2025</t>
        </is>
      </c>
      <c r="C5" s="47" t="inlineStr">
        <is>
          <t>Process Adherance</t>
        </is>
      </c>
      <c r="D5" s="52" t="inlineStr">
        <is>
          <t>Yes</t>
        </is>
      </c>
      <c r="E5" s="47" t="n">
        <v>2</v>
      </c>
      <c r="F5" s="51" t="inlineStr">
        <is>
          <t>Helpdesk_Discipline!A1</t>
        </is>
      </c>
      <c r="G5" s="56" t="inlineStr">
        <is>
          <t>https://helpdesk.gvwgroup.com/Timesheet.do</t>
        </is>
      </c>
      <c r="H5" s="47" t="inlineStr">
        <is>
          <t>Process Adherence (&gt;=90%): Timely comments on tickets; Update business; Resolution added on closure; No CAB miss; PR Approval taken; Weekly Timesheet Submit.</t>
        </is>
      </c>
      <c r="I5" s="47" t="inlineStr">
        <is>
          <t>90%+ on Process Checklist items — see Process_Evidence / Checklists_Ref</t>
        </is>
      </c>
      <c r="J5" s="49" t="inlineStr">
        <is>
          <t>All timesheets submitted and stand-up meetings scheduled and attended. Review Aculocity Helpdesk for more information: https://helpdesk.gvwgroup.com/Timesheet.do</t>
        </is>
      </c>
    </row>
    <row r="6" ht="72" customHeight="1">
      <c r="A6" s="47" t="inlineStr">
        <is>
          <t>Utkarsh</t>
        </is>
      </c>
      <c r="B6" s="47" t="inlineStr">
        <is>
          <t>Q3-2025</t>
        </is>
      </c>
      <c r="C6" s="47" t="inlineStr">
        <is>
          <t>Process Adherance</t>
        </is>
      </c>
      <c r="D6" s="52" t="inlineStr">
        <is>
          <t>Yes</t>
        </is>
      </c>
      <c r="E6" s="47" t="n">
        <v>1</v>
      </c>
      <c r="F6" s="51" t="inlineStr">
        <is>
          <t>Helpdesk_Discipline!A1</t>
        </is>
      </c>
      <c r="G6" s="56" t="inlineStr">
        <is>
          <t>https://helpdesk.gvwgroup.com/Timesheet.do</t>
        </is>
      </c>
      <c r="H6" s="47" t="inlineStr">
        <is>
          <t>Participate in sprint planning, reviews, and daily stand-ups without missing. No miss on Demos; no recurrent miss of 2-3 standups without intimation.</t>
        </is>
      </c>
      <c r="I6" s="47" t="inlineStr">
        <is>
          <t>100% adherence to Sprint/client ceremonies</t>
        </is>
      </c>
      <c r="J6" s="49" t="inlineStr">
        <is>
          <t>All timesheets submitted and stand-up meetings scheduled and attended. Review Aculocity Helpdesk for more information: https://helpdesk.gvwgroup.com/Timesheet.do</t>
        </is>
      </c>
    </row>
    <row r="7" ht="72" customHeight="1">
      <c r="A7" s="47" t="inlineStr">
        <is>
          <t>Utkarsh</t>
        </is>
      </c>
      <c r="B7" s="47" t="inlineStr">
        <is>
          <t>Q3-2025</t>
        </is>
      </c>
      <c r="C7" s="47" t="inlineStr">
        <is>
          <t>External Bug Count, Ticket Reopen</t>
        </is>
      </c>
      <c r="D7" s="53" t="inlineStr">
        <is>
          <t>Yes</t>
        </is>
      </c>
      <c r="E7" s="47" t="n">
        <v>2</v>
      </c>
      <c r="F7" s="51" t="inlineStr">
        <is>
          <t>Q3-2025_Ticket_Summary!A1</t>
        </is>
      </c>
      <c r="G7" s="8" t="n"/>
      <c r="H7" s="47" t="inlineStr">
        <is>
          <t>Ensure 100% of critical bugs are fixed within SLA; address blockers/hotfixes promptly with RCA documentation</t>
        </is>
      </c>
      <c r="I7" s="47" t="inlineStr">
        <is>
          <t>No critical bugs escaped; resolution within SLA</t>
        </is>
      </c>
      <c r="J7" s="49" t="inlineStr">
        <is>
          <t>Client-reported external defects = 0 (none recorded). Threshold &lt;=4. Achieved.</t>
        </is>
      </c>
    </row>
    <row r="8" ht="72" customHeight="1">
      <c r="A8" s="47" t="inlineStr">
        <is>
          <t>Utkarsh</t>
        </is>
      </c>
      <c r="B8" s="47" t="inlineStr">
        <is>
          <t>Q3-2025</t>
        </is>
      </c>
      <c r="C8" s="47" t="inlineStr">
        <is>
          <t>External Bug Count, Ticket Reopen</t>
        </is>
      </c>
      <c r="D8" s="53" t="inlineStr">
        <is>
          <t>Yes</t>
        </is>
      </c>
      <c r="E8" s="47" t="n">
        <v>1</v>
      </c>
      <c r="F8" s="51" t="inlineStr">
        <is>
          <t>Q3-2025_Ticket_Summary!A1</t>
        </is>
      </c>
      <c r="G8" s="8" t="n"/>
      <c r="H8" s="47" t="inlineStr">
        <is>
          <t>Achieve less than 4 external bugs (client-reported) per release/quarter on owned scope</t>
        </is>
      </c>
      <c r="I8" s="47" t="inlineStr">
        <is>
          <t>Code quality and impact analysis; collab with QA on impacts</t>
        </is>
      </c>
      <c r="J8" s="49" t="inlineStr">
        <is>
          <t>Client-reported external defects = 0 (none recorded). Threshold &lt;=4. Achieved.</t>
        </is>
      </c>
    </row>
    <row r="9" ht="72" customHeight="1">
      <c r="A9" s="47" t="inlineStr">
        <is>
          <t>Utkarsh</t>
        </is>
      </c>
      <c r="B9" s="47" t="inlineStr">
        <is>
          <t>Q3-2025</t>
        </is>
      </c>
      <c r="C9" s="47" t="inlineStr">
        <is>
          <t>External Bug Count, Ticket Reopen</t>
        </is>
      </c>
      <c r="D9" s="53" t="inlineStr">
        <is>
          <t>Yes</t>
        </is>
      </c>
      <c r="E9" s="47" t="n">
        <v>1</v>
      </c>
      <c r="F9" s="51" t="inlineStr">
        <is>
          <t>Q3-2025_Ticket_Summary!A1</t>
        </is>
      </c>
      <c r="G9" s="8" t="n"/>
      <c r="H9" s="47" t="inlineStr">
        <is>
          <t>Reduce ticket reopen rate; ensure 90%+ tickets pass without rework</t>
        </is>
      </c>
      <c r="I9" s="47" t="inlineStr">
        <is>
          <t>Not more than 10% of rework on owned Helpdesk tickets</t>
        </is>
      </c>
      <c r="J9" s="49" t="inlineStr">
        <is>
          <t>Client-reported external defects = 0 (none recorded). Threshold &lt;=4. Achieved.</t>
        </is>
      </c>
    </row>
    <row r="10" ht="72" customHeight="1">
      <c r="A10" s="47" t="inlineStr">
        <is>
          <t>Utkarsh</t>
        </is>
      </c>
      <c r="B10" s="47" t="inlineStr">
        <is>
          <t>Q3-2025</t>
        </is>
      </c>
      <c r="C10" s="47" t="inlineStr">
        <is>
          <t>Self Learning</t>
        </is>
      </c>
      <c r="D10" s="55" t="inlineStr">
        <is>
          <t>Yes</t>
        </is>
      </c>
      <c r="E10" s="47" t="n">
        <v>3.5</v>
      </c>
      <c r="F10" s="51" t="inlineStr">
        <is>
          <t>Learning_Evidence!A1</t>
        </is>
      </c>
      <c r="G10" s="47" t="inlineStr">
        <is>
          <t>PMS/Utkarsh/learning_and_development_plan_2025.md</t>
        </is>
      </c>
      <c r="H10" s="47" t="inlineStr">
        <is>
          <t>POC: Web API &amp; SQL Server Optimization — Problem: slow multi-join MDM/EPC SQL + blocking sync calls. AC: Dapper Web API, indexing/no table scans, async DB, ~65% query time reduction. Stack: C#, Web API, T-SQL, Dapper, Microsoft.Data.SqlClient.</t>
        </is>
      </c>
      <c r="I10" s="47" t="inlineStr">
        <is>
          <t>High-performance SQL tuning &amp; SP patterns + learning note/demo</t>
        </is>
      </c>
      <c r="J10" s="49" t="inlineStr">
        <is>
          <t>See Learning_Evidence Q3-2025 (problem/AC/tech). Source: PMS/Utkarsh/learning_and_development_plan_2025.md</t>
        </is>
      </c>
    </row>
    <row r="11" ht="72" customHeight="1">
      <c r="A11" s="47" t="inlineStr">
        <is>
          <t>Utkarsh</t>
        </is>
      </c>
      <c r="B11" s="47" t="inlineStr">
        <is>
          <t>Q4-2025</t>
        </is>
      </c>
      <c r="C11" s="47" t="inlineStr">
        <is>
          <t>Project Delivery</t>
        </is>
      </c>
      <c r="D11" s="55" t="inlineStr">
        <is>
          <t>Yes</t>
        </is>
      </c>
      <c r="E11" s="47" t="n">
        <v>7.5</v>
      </c>
      <c r="F11" s="51" t="inlineStr">
        <is>
          <t>Q4-2025_Ticket_Summary!A1</t>
        </is>
      </c>
      <c r="G11" s="8" t="n"/>
      <c r="H11" s="47" t="inlineStr">
        <is>
          <t>Timely Delivery: Complete assigned tasks on or before deadlines. Not more than &gt; 2 slippages in tasks in Release or Quarter</t>
        </is>
      </c>
      <c r="I11" s="47" t="inlineStr">
        <is>
          <t>Timely delivery of assigned Helpdesk tickets; avg sustained monthly closures</t>
        </is>
      </c>
      <c r="J11" s="49" t="inlineStr">
        <is>
          <t>Master Q4-2025: total=13 closed=11 open=2 (target 9; Yes if &gt;=9 or &gt;=6)</t>
        </is>
      </c>
    </row>
    <row r="12" ht="72" customHeight="1">
      <c r="A12" s="47" t="inlineStr">
        <is>
          <t>Utkarsh</t>
        </is>
      </c>
      <c r="B12" s="47" t="inlineStr">
        <is>
          <t>Q4-2025</t>
        </is>
      </c>
      <c r="C12" s="47" t="inlineStr">
        <is>
          <t>Project Delivery</t>
        </is>
      </c>
      <c r="D12" s="55" t="inlineStr">
        <is>
          <t>Yes</t>
        </is>
      </c>
      <c r="E12" s="47" t="n">
        <v>3</v>
      </c>
      <c r="F12" s="51" t="inlineStr">
        <is>
          <t>Q4-2025_Ticket_Summary!A1</t>
        </is>
      </c>
      <c r="G12" s="8" t="n"/>
      <c r="H12" s="47" t="inlineStr">
        <is>
          <t>Estimation Accuracy: Provide task estimations with no more than ±10% deviation from the original estimate.</t>
        </is>
      </c>
      <c r="I12" s="47" t="inlineStr">
        <is>
          <t>No deviations in estimation and improvisation over time</t>
        </is>
      </c>
      <c r="J12" s="49" t="inlineStr">
        <is>
          <t>Master Q4-2025: total=13 closed=11 open=2 (target 9; Yes if &gt;=9 or &gt;=6)</t>
        </is>
      </c>
    </row>
    <row r="13" ht="72" customHeight="1">
      <c r="A13" s="47" t="inlineStr">
        <is>
          <t>Utkarsh</t>
        </is>
      </c>
      <c r="B13" s="47" t="inlineStr">
        <is>
          <t>Q4-2025</t>
        </is>
      </c>
      <c r="C13" s="47" t="inlineStr">
        <is>
          <t>Project Delivery</t>
        </is>
      </c>
      <c r="D13" s="55" t="inlineStr">
        <is>
          <t>Yes</t>
        </is>
      </c>
      <c r="E13" s="47" t="n">
        <v>3</v>
      </c>
      <c r="F13" s="51" t="inlineStr">
        <is>
          <t>Q4-2025_Ticket_Summary!A1</t>
        </is>
      </c>
      <c r="G13" s="8" t="n"/>
      <c r="H13" s="47" t="inlineStr">
        <is>
          <t>Ensuring tickets are ready for testing/UAT within stipulated due date; not more than 10% deviation in the quarter</t>
        </is>
      </c>
      <c r="I13" s="47" t="inlineStr">
        <is>
          <t>Timely handoff of tasks for validation/UAT</t>
        </is>
      </c>
      <c r="J13" s="49" t="inlineStr">
        <is>
          <t>Master Q4-2025: total=13 closed=11 open=2 (target 9; Yes if &gt;=9 or &gt;=6)</t>
        </is>
      </c>
    </row>
    <row r="14" ht="72" customHeight="1">
      <c r="A14" s="47" t="inlineStr">
        <is>
          <t>Utkarsh</t>
        </is>
      </c>
      <c r="B14" s="47" t="inlineStr">
        <is>
          <t>Q4-2025</t>
        </is>
      </c>
      <c r="C14" s="47" t="inlineStr">
        <is>
          <t>Project Delivery</t>
        </is>
      </c>
      <c r="D14" s="53" t="inlineStr">
        <is>
          <t>Yes</t>
        </is>
      </c>
      <c r="E14" s="47" t="n">
        <v>1</v>
      </c>
      <c r="F14" s="51" t="inlineStr">
        <is>
          <t>CodeChange_Summary!A1</t>
        </is>
      </c>
      <c r="G14" s="8" t="n"/>
      <c r="H14" s="47" t="inlineStr">
        <is>
          <t>Quality delivery: 100% PR/code review on Code Change tickets; rework &lt; 10%; unit testing on .NET/SQL</t>
        </is>
      </c>
      <c r="I14" s="47" t="inlineStr">
        <is>
          <t>Code Change closures with review evidence</t>
        </is>
      </c>
      <c r="J14" s="49" t="inlineStr">
        <is>
          <t>PR rejection = 0 on CodeChange_Summary. Review/rejection threshold met.</t>
        </is>
      </c>
    </row>
    <row r="15" ht="72" customHeight="1">
      <c r="A15" s="47" t="inlineStr">
        <is>
          <t>Utkarsh</t>
        </is>
      </c>
      <c r="B15" s="47" t="inlineStr">
        <is>
          <t>Q4-2025</t>
        </is>
      </c>
      <c r="C15" s="47" t="inlineStr">
        <is>
          <t>Process Adherance</t>
        </is>
      </c>
      <c r="D15" s="52" t="inlineStr">
        <is>
          <t>Yes</t>
        </is>
      </c>
      <c r="E15" s="47" t="n">
        <v>2</v>
      </c>
      <c r="F15" s="51" t="inlineStr">
        <is>
          <t>Helpdesk_Discipline!A1</t>
        </is>
      </c>
      <c r="G15" s="56" t="inlineStr">
        <is>
          <t>https://helpdesk.gvwgroup.com/Timesheet.do</t>
        </is>
      </c>
      <c r="H15" s="47" t="inlineStr">
        <is>
          <t>Process Adherence (&gt;=90%): Timely comments on tickets; Update business; Resolution added on closure; No CAB miss; PR Approval taken; Weekly Timesheet Submit; leave/WFH policy.</t>
        </is>
      </c>
      <c r="I15" s="47" t="inlineStr">
        <is>
          <t>90%+ on Process Checklist items — see Process_Evidence</t>
        </is>
      </c>
      <c r="J15" s="49" t="inlineStr">
        <is>
          <t>All timesheets submitted and stand-up meetings scheduled and attended. Review Aculocity Helpdesk for more information: https://helpdesk.gvwgroup.com/Timesheet.do</t>
        </is>
      </c>
    </row>
    <row r="16" ht="72" customHeight="1">
      <c r="A16" s="47" t="inlineStr">
        <is>
          <t>Utkarsh</t>
        </is>
      </c>
      <c r="B16" s="47" t="inlineStr">
        <is>
          <t>Q4-2025</t>
        </is>
      </c>
      <c r="C16" s="47" t="inlineStr">
        <is>
          <t>Process Adherance</t>
        </is>
      </c>
      <c r="D16" s="52" t="inlineStr">
        <is>
          <t>Yes</t>
        </is>
      </c>
      <c r="E16" s="47" t="n">
        <v>1</v>
      </c>
      <c r="F16" s="51" t="inlineStr">
        <is>
          <t>Helpdesk_Discipline!A1</t>
        </is>
      </c>
      <c r="G16" s="56" t="inlineStr">
        <is>
          <t>https://helpdesk.gvwgroup.com/Timesheet.do</t>
        </is>
      </c>
      <c r="H16" s="47" t="inlineStr">
        <is>
          <t>Participate in sprint/client ceremonies without missing; prompt stakeholder responsiveness</t>
        </is>
      </c>
      <c r="I16" s="47" t="inlineStr">
        <is>
          <t>100% adherence to ceremonies</t>
        </is>
      </c>
      <c r="J16" s="49" t="inlineStr">
        <is>
          <t>All timesheets submitted and stand-up meetings scheduled and attended. Review Aculocity Helpdesk for more information: https://helpdesk.gvwgroup.com/Timesheet.do</t>
        </is>
      </c>
    </row>
    <row r="17" ht="72" customHeight="1">
      <c r="A17" s="47" t="inlineStr">
        <is>
          <t>Utkarsh</t>
        </is>
      </c>
      <c r="B17" s="47" t="inlineStr">
        <is>
          <t>Q4-2025</t>
        </is>
      </c>
      <c r="C17" s="47" t="inlineStr">
        <is>
          <t>External Bug Count, Ticket Reopen</t>
        </is>
      </c>
      <c r="D17" s="53" t="inlineStr">
        <is>
          <t>Yes</t>
        </is>
      </c>
      <c r="E17" s="47" t="n">
        <v>2</v>
      </c>
      <c r="F17" s="51" t="inlineStr">
        <is>
          <t>Q4-2025_Ticket_Summary!A1</t>
        </is>
      </c>
      <c r="G17" s="8" t="n"/>
      <c r="H17" s="47" t="inlineStr">
        <is>
          <t>Ensure 100% of critical bugs fixed within SLA; hotfixes with RCA</t>
        </is>
      </c>
      <c r="I17" s="47" t="inlineStr">
        <is>
          <t>No critical bugs in release on owned scope; SLA met</t>
        </is>
      </c>
      <c r="J17" s="49" t="inlineStr">
        <is>
          <t>Client-reported external defects = 0 (none recorded). Threshold &lt;=4. Achieved.</t>
        </is>
      </c>
    </row>
    <row r="18" ht="72" customHeight="1">
      <c r="A18" s="47" t="inlineStr">
        <is>
          <t>Utkarsh</t>
        </is>
      </c>
      <c r="B18" s="47" t="inlineStr">
        <is>
          <t>Q4-2025</t>
        </is>
      </c>
      <c r="C18" s="47" t="inlineStr">
        <is>
          <t>External Bug Count, Ticket Reopen</t>
        </is>
      </c>
      <c r="D18" s="53" t="inlineStr">
        <is>
          <t>Yes</t>
        </is>
      </c>
      <c r="E18" s="47" t="n">
        <v>1</v>
      </c>
      <c r="F18" s="51" t="inlineStr">
        <is>
          <t>Q4-2025_Ticket_Summary!A1</t>
        </is>
      </c>
      <c r="G18" s="8" t="n"/>
      <c r="H18" s="47" t="inlineStr">
        <is>
          <t>Achieve less than 4 external bugs per release/quarter on owned scope</t>
        </is>
      </c>
      <c r="I18" s="47" t="inlineStr">
        <is>
          <t>Defect theme reduction vs Q3 (Part List / BOM duplicates)</t>
        </is>
      </c>
      <c r="J18" s="49" t="inlineStr">
        <is>
          <t>Client-reported external defects = 0 (none recorded). Threshold &lt;=4. Achieved.</t>
        </is>
      </c>
    </row>
    <row r="19" ht="72" customHeight="1">
      <c r="A19" s="47" t="inlineStr">
        <is>
          <t>Utkarsh</t>
        </is>
      </c>
      <c r="B19" s="47" t="inlineStr">
        <is>
          <t>Q4-2025</t>
        </is>
      </c>
      <c r="C19" s="47" t="inlineStr">
        <is>
          <t>External Bug Count, Ticket Reopen</t>
        </is>
      </c>
      <c r="D19" s="53" t="inlineStr">
        <is>
          <t>Yes</t>
        </is>
      </c>
      <c r="E19" s="47" t="n">
        <v>1</v>
      </c>
      <c r="F19" s="51" t="inlineStr">
        <is>
          <t>CodeChange_Summary!A1</t>
        </is>
      </c>
      <c r="G19" s="8" t="n"/>
      <c r="H19" s="47" t="inlineStr">
        <is>
          <t>Reduce ticket reopen rate by improving first-time quality on Code/SP Change tickets</t>
        </is>
      </c>
      <c r="I19" s="47" t="inlineStr">
        <is>
          <t>Not more than 10% rework</t>
        </is>
      </c>
      <c r="J19" s="49" t="inlineStr">
        <is>
          <t>Client-reported external defects = 0 (none recorded). Threshold &lt;=4. Achieved.</t>
        </is>
      </c>
    </row>
    <row r="20" ht="72" customHeight="1">
      <c r="A20" s="47" t="inlineStr">
        <is>
          <t>Utkarsh</t>
        </is>
      </c>
      <c r="B20" s="47" t="inlineStr">
        <is>
          <t>Q4-2025</t>
        </is>
      </c>
      <c r="C20" s="47" t="inlineStr">
        <is>
          <t>Self Learning</t>
        </is>
      </c>
      <c r="D20" s="55" t="inlineStr">
        <is>
          <t>Yes</t>
        </is>
      </c>
      <c r="E20" s="47" t="n">
        <v>3.5</v>
      </c>
      <c r="F20" s="51" t="inlineStr">
        <is>
          <t>Learning_Evidence!A1</t>
        </is>
      </c>
      <c r="G20" s="47" t="inlineStr">
        <is>
          <t>PMS/Utkarsh/learning_and_development_plan_2025.md</t>
        </is>
      </c>
      <c r="H20" s="47" t="inlineStr">
        <is>
          <t>POC: .NET API Advancement &amp; Data Integration — Problem: unhandled API exceptions + brittle DTO mapping (orphan EPL, qty mismatch). AC: middleware, model binders, mapping, ~80% fewer unhandled exceptions. Stack: .NET 8, C#, ASP.NET Core Middleware.</t>
        </is>
      </c>
      <c r="I20" s="47" t="inlineStr">
        <is>
          <t>Enterprise middleware, exception handling &amp; data mapping + learning note/demo</t>
        </is>
      </c>
      <c r="J20" s="49" t="inlineStr">
        <is>
          <t>See Learning_Evidence Q4-2025 (problem/AC/tech). Source: PMS/Utkarsh/learning_and_development_plan_2025.md</t>
        </is>
      </c>
    </row>
    <row r="21" ht="72" customHeight="1">
      <c r="A21" s="47" t="inlineStr">
        <is>
          <t>Utkarsh</t>
        </is>
      </c>
      <c r="B21" s="47" t="inlineStr">
        <is>
          <t>Q1-2026</t>
        </is>
      </c>
      <c r="C21" s="47" t="inlineStr">
        <is>
          <t>Execution</t>
        </is>
      </c>
      <c r="D21" s="55" t="inlineStr">
        <is>
          <t>Yes</t>
        </is>
      </c>
      <c r="E21" s="47" t="n">
        <v>7.5</v>
      </c>
      <c r="F21" s="51" t="inlineStr">
        <is>
          <t>Q1-2026_Ticket_Summary!A1</t>
        </is>
      </c>
      <c r="G21" s="8" t="n"/>
      <c r="H21" s="47" t="inlineStr">
        <is>
          <t>Deliver 3 Helpdesk Plus tickets closed per month (monthly commitment met); ≤2 uncommunicated slippages</t>
        </is>
      </c>
      <c r="I21" s="47" t="inlineStr">
        <is>
          <t>Monthly closure counts; Assign/Closure dates on Closed tickets</t>
        </is>
      </c>
      <c r="J21" s="49" t="inlineStr">
        <is>
          <t>Master Q1-2026: total=8 closed=7 open=1 (target 9; Yes if &gt;=9 or &gt;=6)</t>
        </is>
      </c>
    </row>
    <row r="22" ht="72" customHeight="1">
      <c r="A22" s="47" t="inlineStr">
        <is>
          <t>Utkarsh</t>
        </is>
      </c>
      <c r="B22" s="47" t="inlineStr">
        <is>
          <t>Q1-2026</t>
        </is>
      </c>
      <c r="C22" s="47" t="inlineStr">
        <is>
          <t>Quality</t>
        </is>
      </c>
      <c r="D22" s="50" t="inlineStr">
        <is>
          <t>Yes</t>
        </is>
      </c>
      <c r="E22" s="47" t="n">
        <v>8</v>
      </c>
      <c r="F22" s="51" t="inlineStr">
        <is>
          <t>Q1-2026_Ticket_Summary!A1</t>
        </is>
      </c>
      <c r="G22" s="8" t="n"/>
      <c r="H22" s="47" t="inlineStr">
        <is>
          <t>Quality Score card &gt;=80% — rework/reopen &lt;5%, Production Defect Leakage &lt;1, estimation deviation &lt;10%; PR rejection = 0% (&lt;10%).</t>
        </is>
      </c>
      <c r="I22" s="47" t="inlineStr">
        <is>
          <t>Ticket_Summary + CodeChange_Summary + Process_Evidence (Quality checklist)</t>
        </is>
      </c>
      <c r="J22" s="49" t="inlineStr">
        <is>
          <t>Themes=1; Rework=0 (0.0%) | PR rejection = 0% (CodeChange_Summary).</t>
        </is>
      </c>
    </row>
    <row r="23" ht="72" customHeight="1">
      <c r="A23" s="47" t="inlineStr">
        <is>
          <t>Utkarsh</t>
        </is>
      </c>
      <c r="B23" s="47" t="inlineStr">
        <is>
          <t>Q1-2026</t>
        </is>
      </c>
      <c r="C23" s="47" t="inlineStr">
        <is>
          <t>Quality</t>
        </is>
      </c>
      <c r="D23" s="57" t="inlineStr">
        <is>
          <t>Yes</t>
        </is>
      </c>
      <c r="E23" s="47" t="n">
        <v>2</v>
      </c>
      <c r="F23" s="58" t="inlineStr">
        <is>
          <t>CodeChange_Summary!A1</t>
        </is>
      </c>
      <c r="G23" s="8" t="n"/>
      <c r="H23" s="47" t="inlineStr">
        <is>
          <t>PR rejection = 0 (0%). Threshold is &lt;10%. See CodeChange_Summary.</t>
        </is>
      </c>
      <c r="I23" s="47" t="inlineStr">
        <is>
          <t>CodeChange_Summary — PR Rejection % = 0</t>
        </is>
      </c>
      <c r="J23" s="47" t="inlineStr">
        <is>
          <t>0 PR rejections recorded. Achieved.</t>
        </is>
      </c>
    </row>
    <row r="24" ht="72" customHeight="1">
      <c r="A24" s="47" t="inlineStr">
        <is>
          <t>Utkarsh</t>
        </is>
      </c>
      <c r="B24" s="47" t="inlineStr">
        <is>
          <t>Q1-2026</t>
        </is>
      </c>
      <c r="C24" s="47" t="inlineStr">
        <is>
          <t>Quality</t>
        </is>
      </c>
      <c r="D24" s="52" t="inlineStr">
        <is>
          <t>Yes</t>
        </is>
      </c>
      <c r="E24" s="47" t="n">
        <v>2.5</v>
      </c>
      <c r="F24" s="51" t="inlineStr">
        <is>
          <t>Helpdesk_Discipline!A1</t>
        </is>
      </c>
      <c r="G24" s="56" t="inlineStr">
        <is>
          <t>https://helpdesk.gvwgroup.com/Timesheet.do</t>
        </is>
      </c>
      <c r="H24" s="47" t="inlineStr">
        <is>
          <t>Process Adherence on Quality: Timely comments on tickets; Update business; Resolution added on closure; No CAB miss; PR Approval taken; Weekly Timesheet Submit</t>
        </is>
      </c>
      <c r="I24" s="47" t="inlineStr">
        <is>
          <t>Process_Evidence Process Checklist scorecard</t>
        </is>
      </c>
      <c r="J24" s="49" t="inlineStr">
        <is>
          <t>All timesheets submitted and stand-up meetings scheduled and attended. Review Aculocity Helpdesk for more information: https://helpdesk.gvwgroup.com/Timesheet.do</t>
        </is>
      </c>
    </row>
    <row r="25" ht="72" customHeight="1">
      <c r="A25" s="47" t="inlineStr">
        <is>
          <t>Utkarsh</t>
        </is>
      </c>
      <c r="B25" s="47" t="inlineStr">
        <is>
          <t>Q1-2026</t>
        </is>
      </c>
      <c r="C25" s="47" t="inlineStr">
        <is>
          <t>Learning &amp; Development</t>
        </is>
      </c>
      <c r="D25" s="55" t="inlineStr">
        <is>
          <t>Yes</t>
        </is>
      </c>
      <c r="E25" s="47" t="n">
        <v>5</v>
      </c>
      <c r="F25" s="51" t="inlineStr">
        <is>
          <t>Learning_Evidence!A1</t>
        </is>
      </c>
      <c r="G25" s="59" t="inlineStr">
        <is>
          <t>https://bitbucket.org/msnalashaa/performance-learning-development/src/main/</t>
        </is>
      </c>
      <c r="H25" s="47" t="inlineStr">
        <is>
          <t>Deliver &gt;1 AI/Automation initiative (AI PR Review Helper) to achieve &gt;10% optimization in review/SDLC process</t>
        </is>
      </c>
      <c r="I25" s="47" t="inlineStr">
        <is>
          <t>Live demo + rules/template doc; TSE mentoring note</t>
        </is>
      </c>
      <c r="J25" s="49" t="inlineStr">
        <is>
          <t>Evidence-based; Closed=9; POC=https://bitbucket.org/msnalashaa/performance-learning-development/src/main/</t>
        </is>
      </c>
    </row>
    <row r="26" ht="72" customHeight="1">
      <c r="A26" s="47" t="inlineStr">
        <is>
          <t>Utkarsh</t>
        </is>
      </c>
      <c r="B26" s="47" t="inlineStr">
        <is>
          <t>Q2-2026</t>
        </is>
      </c>
      <c r="C26" s="47" t="inlineStr">
        <is>
          <t>Execution</t>
        </is>
      </c>
      <c r="D26" s="55" t="inlineStr">
        <is>
          <t>Yes</t>
        </is>
      </c>
      <c r="E26" s="47" t="n">
        <v>7.5</v>
      </c>
      <c r="F26" s="51" t="inlineStr">
        <is>
          <t>Q2-2026_Ticket_Summary!A1</t>
        </is>
      </c>
      <c r="G26" s="8" t="n"/>
      <c r="H26" s="47" t="inlineStr">
        <is>
          <t>Deliver 3 Helpdesk Plus tickets closed per month (commitment met); predictable cadence; dependencies flagged early</t>
        </is>
      </c>
      <c r="I26" s="47" t="inlineStr">
        <is>
          <t>Monthly closure counts Apr–Jun; release notes on Code Change</t>
        </is>
      </c>
      <c r="J26" s="49" t="inlineStr">
        <is>
          <t>Master Q2-2026: total=17 closed=16 open=1 (target 9; Yes if &gt;=9 or &gt;=6)</t>
        </is>
      </c>
    </row>
    <row r="27" ht="72" customHeight="1">
      <c r="A27" s="47" t="inlineStr">
        <is>
          <t>Utkarsh</t>
        </is>
      </c>
      <c r="B27" s="47" t="inlineStr">
        <is>
          <t>Q2-2026</t>
        </is>
      </c>
      <c r="C27" s="47" t="inlineStr">
        <is>
          <t>Quality</t>
        </is>
      </c>
      <c r="D27" s="50" t="inlineStr">
        <is>
          <t>Yes</t>
        </is>
      </c>
      <c r="E27" s="47" t="n">
        <v>8</v>
      </c>
      <c r="F27" s="51" t="inlineStr">
        <is>
          <t>Q2-2026_Ticket_Summary!A1</t>
        </is>
      </c>
      <c r="G27" s="8" t="n"/>
      <c r="H27" s="47" t="inlineStr">
        <is>
          <t>Quality Score card &gt;=80% — rework/reopen &lt;5%, Production Defect Leakage &lt;1, estimation deviation &lt;10%; PR rejection = 0% (&lt;10%).</t>
        </is>
      </c>
      <c r="I27" s="47" t="inlineStr">
        <is>
          <t>Q2 Ticket_Summary + CodeChange_Summary + Process_Evidence</t>
        </is>
      </c>
      <c r="J27" s="49" t="inlineStr">
        <is>
          <t>Themes=2; Rework=0 (0.0%) | PR rejection = 0% (CodeChange_Summary).</t>
        </is>
      </c>
    </row>
    <row r="28" ht="72" customHeight="1">
      <c r="A28" s="47" t="inlineStr">
        <is>
          <t>Utkarsh</t>
        </is>
      </c>
      <c r="B28" s="47" t="inlineStr">
        <is>
          <t>Q2-2026</t>
        </is>
      </c>
      <c r="C28" s="47" t="inlineStr">
        <is>
          <t>Quality</t>
        </is>
      </c>
      <c r="D28" s="57" t="inlineStr">
        <is>
          <t>Yes</t>
        </is>
      </c>
      <c r="E28" s="47" t="n">
        <v>2</v>
      </c>
      <c r="F28" s="58" t="inlineStr">
        <is>
          <t>CodeChange_Summary!A1</t>
        </is>
      </c>
      <c r="G28" s="47" t="inlineStr">
        <is>
          <t>https://bitbucket.org/msnalashaa/performance-learning-development/src/main/</t>
        </is>
      </c>
      <c r="H28" s="47" t="inlineStr">
        <is>
          <t>PR rejection = 0 (0%). Threshold is &lt;10%. See CodeChange_Summary.</t>
        </is>
      </c>
      <c r="I28" s="47" t="inlineStr">
        <is>
          <t>CodeChange_Summary — PR Rejection % = 0</t>
        </is>
      </c>
      <c r="J28" s="47" t="inlineStr">
        <is>
          <t>0 PR rejections recorded. Achieved.</t>
        </is>
      </c>
    </row>
    <row r="29" ht="72" customHeight="1">
      <c r="A29" s="47" t="inlineStr">
        <is>
          <t>Utkarsh</t>
        </is>
      </c>
      <c r="B29" s="47" t="inlineStr">
        <is>
          <t>Q2-2026</t>
        </is>
      </c>
      <c r="C29" s="47" t="inlineStr">
        <is>
          <t>Quality</t>
        </is>
      </c>
      <c r="D29" s="52" t="inlineStr">
        <is>
          <t>Yes</t>
        </is>
      </c>
      <c r="E29" s="47" t="n">
        <v>2.5</v>
      </c>
      <c r="F29" s="51" t="inlineStr">
        <is>
          <t>Helpdesk_Discipline!A1</t>
        </is>
      </c>
      <c r="G29" s="56" t="inlineStr">
        <is>
          <t>https://helpdesk.gvwgroup.com/Timesheet.do</t>
        </is>
      </c>
      <c r="H29" s="47" t="inlineStr">
        <is>
          <t>Process Adherence on Quality: Timely comments; Update business; Resolution on closure; No CAB miss; PR Approval taken; Weekly Timesheet Submit</t>
        </is>
      </c>
      <c r="I29" s="47" t="inlineStr">
        <is>
          <t>Process_Evidence Process Checklist scorecard</t>
        </is>
      </c>
      <c r="J29" s="49" t="inlineStr">
        <is>
          <t>All timesheets submitted and stand-up meetings scheduled and attended. Review Aculocity Helpdesk for more information: https://helpdesk.gvwgroup.com/Timesheet.do</t>
        </is>
      </c>
    </row>
    <row r="30" ht="72" customHeight="1">
      <c r="A30" s="47" t="inlineStr">
        <is>
          <t>Utkarsh</t>
        </is>
      </c>
      <c r="B30" s="47" t="inlineStr">
        <is>
          <t>Q2-2026</t>
        </is>
      </c>
      <c r="C30" s="47" t="inlineStr">
        <is>
          <t>Learning &amp; Development</t>
        </is>
      </c>
      <c r="D30" s="55" t="inlineStr">
        <is>
          <t>Yes</t>
        </is>
      </c>
      <c r="E30" s="47" t="n">
        <v>5</v>
      </c>
      <c r="F30" s="51" t="inlineStr">
        <is>
          <t>Learning_Evidence!A1</t>
        </is>
      </c>
      <c r="G30" s="59" t="inlineStr">
        <is>
          <t>https://bitbucket.org/msnalashaa/performance-learning-development/src/main/</t>
        </is>
      </c>
      <c r="H30" s="47" t="inlineStr">
        <is>
          <t>Deliver &gt;1 AI/Automation initiative (AI integration test generator) for &gt;10% SDLC optimization; cert if applicable</t>
        </is>
      </c>
      <c r="I30" s="47" t="inlineStr">
        <is>
          <t>Tests + runbook + live demo; cert PDF</t>
        </is>
      </c>
      <c r="J30" s="49" t="inlineStr">
        <is>
          <t>Evidence-based; Closed=14 POC=https://bitbucket.org/msnalashaa/performance-learning-development/src/main/</t>
        </is>
      </c>
    </row>
    <row r="31" ht="48" customHeight="1"/>
  </sheetData>
  <autoFilter ref="A1:J31"/>
  <hyperlinks>
    <hyperlink ref="F2" location="Q3-2025_Ticket_Summary!A1" display="Q3-2025_Ticket_Summary!A1"/>
    <hyperlink ref="F3" location="Q3-2025_Ticket_Summary!A1" display="Q3-2025_Ticket_Summary!A1"/>
    <hyperlink ref="F4" location="CodeChange_Summary!A1" display="CodeChange_Summary!A1"/>
    <hyperlink ref="F5" location="Helpdesk_Discipline!A1" display="Helpdesk_Discipline!A1"/>
    <hyperlink xmlns:r="http://schemas.openxmlformats.org/officeDocument/2006/relationships" ref="G5" r:id="rId1"/>
    <hyperlink ref="F6" location="Helpdesk_Discipline!A1" display="Helpdesk_Discipline!A1"/>
    <hyperlink xmlns:r="http://schemas.openxmlformats.org/officeDocument/2006/relationships" ref="G6" r:id="rId2"/>
    <hyperlink ref="F7" location="Q3-2025_Ticket_Summary!A1" display="Q3-2025_Ticket_Summary!A1"/>
    <hyperlink ref="F8" location="Q3-2025_Ticket_Summary!A1" display="Q3-2025_Ticket_Summary!A1"/>
    <hyperlink ref="F9" location="Q3-2025_Ticket_Summary!A1" display="Q3-2025_Ticket_Summary!A1"/>
    <hyperlink ref="F10" location="Learning_Evidence!A1" display="Learning_Evidence!A1"/>
    <hyperlink ref="F11" location="Q4-2025_Ticket_Summary!A1" display="Q4-2025_Ticket_Summary!A1"/>
    <hyperlink ref="F12" location="Q4-2025_Ticket_Summary!A1" display="Q4-2025_Ticket_Summary!A1"/>
    <hyperlink ref="F13" location="Q4-2025_Ticket_Summary!A1" display="Q4-2025_Ticket_Summary!A1"/>
    <hyperlink ref="F14" location="CodeChange_Summary!A1" display="CodeChange_Summary!A1"/>
    <hyperlink ref="F15" location="Helpdesk_Discipline!A1" display="Helpdesk_Discipline!A1"/>
    <hyperlink xmlns:r="http://schemas.openxmlformats.org/officeDocument/2006/relationships" ref="G15" r:id="rId3"/>
    <hyperlink ref="F16" location="Helpdesk_Discipline!A1" display="Helpdesk_Discipline!A1"/>
    <hyperlink xmlns:r="http://schemas.openxmlformats.org/officeDocument/2006/relationships" ref="G16" r:id="rId4"/>
    <hyperlink ref="F17" location="Q4-2025_Ticket_Summary!A1" display="Q4-2025_Ticket_Summary!A1"/>
    <hyperlink ref="F18" location="Q4-2025_Ticket_Summary!A1" display="Q4-2025_Ticket_Summary!A1"/>
    <hyperlink ref="F19" location="CodeChange_Summary!A1" display="CodeChange_Summary!A1"/>
    <hyperlink ref="F20" location="Learning_Evidence!A1" display="Learning_Evidence!A1"/>
    <hyperlink ref="F21" location="Q1-2026_Ticket_Summary!A1" display="Q1-2026_Ticket_Summary!A1"/>
    <hyperlink ref="F22" location="Q1-2026_Ticket_Summary!A1" display="Q1-2026_Ticket_Summary!A1"/>
    <hyperlink ref="F23" location="Helpdesk_Discipline!A1" display="Helpdesk_Discipline!A1"/>
    <hyperlink ref="F24" location="Learning_Evidence!A1" display="Learning_Evidence!A1"/>
    <hyperlink xmlns:r="http://schemas.openxmlformats.org/officeDocument/2006/relationships" ref="G24" r:id="rId5"/>
    <hyperlink ref="F25" location="Q2-2026_Ticket_Summary!A1" display="Q2-2026_Ticket_Summary!A1"/>
    <hyperlink ref="F26" location="Q2-2026_Ticket_Summary!A1" display="Q2-2026_Ticket_Summary!A1"/>
    <hyperlink ref="F27" location="Helpdesk_Discipline!A1" display="Helpdesk_Discipline!A1"/>
    <hyperlink ref="F28" location="Learning_Evidence!A1" display="Learning_Evidence!A1"/>
    <hyperlink xmlns:r="http://schemas.openxmlformats.org/officeDocument/2006/relationships" ref="G28" r:id="rId6"/>
    <hyperlink xmlns:r="http://schemas.openxmlformats.org/officeDocument/2006/relationships" ref="G29" r:id="rId7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0"/>
  <sheetViews>
    <sheetView topLeftCell="A3" workbookViewId="0">
      <selection activeCell="C16" sqref="C16"/>
    </sheetView>
  </sheetViews>
  <sheetFormatPr baseColWidth="8" defaultRowHeight="15"/>
  <cols>
    <col width="14" customWidth="1" min="1" max="6"/>
    <col width="18" customWidth="1" min="7" max="7"/>
    <col width="17" customWidth="1" min="8" max="8"/>
    <col width="28" customWidth="1" min="9" max="9"/>
    <col width="19" customWidth="1" min="10" max="10"/>
  </cols>
  <sheetData>
    <row r="1">
      <c r="A1" s="67" t="inlineStr">
        <is>
          <t>Utkarsh_OKR_Checklist!A1</t>
        </is>
      </c>
    </row>
    <row r="2"/>
    <row r="3" ht="17.25" customHeight="1">
      <c r="A3" s="65" t="inlineStr">
        <is>
          <t>Utkarsh — Actual vs Achieved Scorecard (by Quarter)</t>
        </is>
      </c>
      <c r="B3" s="78" t="n"/>
      <c r="C3" s="78" t="n"/>
      <c r="D3" s="78" t="n"/>
      <c r="E3" s="78" t="n"/>
      <c r="F3" s="78" t="n"/>
      <c r="G3" s="78" t="n"/>
      <c r="H3" s="78" t="n"/>
      <c r="I3" s="78" t="n"/>
      <c r="J3" s="78" t="n"/>
    </row>
    <row r="4">
      <c r="A4" s="64" t="inlineStr">
        <is>
          <t>Scope: Q3-Q4 2025 and Q1-Q2 2026. Score rule: Yes = full weight of that KPI for the quarter, No = 0. Each quarter is 25 when every KPI is Yes.</t>
        </is>
      </c>
      <c r="B4" s="61" t="n"/>
      <c r="C4" s="61" t="n"/>
      <c r="D4" s="61" t="n"/>
      <c r="E4" s="61" t="n"/>
      <c r="F4" s="61" t="n"/>
      <c r="G4" s="61" t="n"/>
      <c r="H4" s="61" t="n"/>
      <c r="I4" s="61" t="n"/>
      <c r="J4" s="62" t="n"/>
    </row>
    <row r="5"/>
    <row r="6">
      <c r="A6" s="14" t="inlineStr">
        <is>
          <t>Quarter</t>
        </is>
      </c>
      <c r="B6" s="14" t="inlineStr">
        <is>
          <t>KPI Area</t>
        </is>
      </c>
      <c r="C6" s="14" t="inlineStr">
        <is>
          <t>Metric</t>
        </is>
      </c>
      <c r="D6" s="14" t="inlineStr">
        <is>
          <t>Target</t>
        </is>
      </c>
      <c r="E6" s="14" t="inlineStr">
        <is>
          <t>Actual</t>
        </is>
      </c>
      <c r="F6" s="14" t="inlineStr">
        <is>
          <t>Yes</t>
        </is>
      </c>
      <c r="G6" s="14" t="inlineStr">
        <is>
          <t>Weightage (KPI)</t>
        </is>
      </c>
      <c r="H6" s="14" t="inlineStr">
        <is>
          <t>Evidence Sheet</t>
        </is>
      </c>
      <c r="I6" s="14" t="inlineStr">
        <is>
          <t>Source KPI Target (short)</t>
        </is>
      </c>
      <c r="J6" s="14" t="inlineStr">
        <is>
          <t>Validation Notes</t>
        </is>
      </c>
    </row>
    <row r="7" ht="45" customHeight="1">
      <c r="A7" s="15" t="inlineStr">
        <is>
          <t>Q3-2025</t>
        </is>
      </c>
      <c r="B7" s="15" t="inlineStr">
        <is>
          <t>Project Delivery</t>
        </is>
      </c>
      <c r="C7" s="15" t="inlineStr">
        <is>
          <t>Closed / Resolved tickets</t>
        </is>
      </c>
      <c r="D7" s="15" t="inlineStr">
        <is>
          <t>9</t>
        </is>
      </c>
      <c r="E7" s="15" t="n">
        <v>11</v>
      </c>
      <c r="F7" s="20" t="inlineStr">
        <is>
          <t>Yes</t>
        </is>
      </c>
      <c r="G7" s="15" t="n">
        <v>14.5</v>
      </c>
      <c r="H7" s="19" t="inlineStr">
        <is>
          <t>Ticket_Velocity!A1</t>
        </is>
      </c>
      <c r="I7" s="2" t="n"/>
      <c r="J7" s="15" t="inlineStr">
        <is>
          <t>Yes 14.5 of 14.5. Yes = full marks, No = 0.</t>
        </is>
      </c>
    </row>
    <row r="8" ht="30" customHeight="1">
      <c r="A8" s="15" t="inlineStr">
        <is>
          <t>Q3-2025</t>
        </is>
      </c>
      <c r="B8" s="15" t="inlineStr">
        <is>
          <t>Process Adherance</t>
        </is>
      </c>
      <c r="C8" s="15" t="inlineStr">
        <is>
          <t>Process checklist</t>
        </is>
      </c>
      <c r="D8" s="15" t="inlineStr">
        <is>
          <t>&gt;=90%</t>
        </is>
      </c>
      <c r="E8" s="15" t="inlineStr">
        <is>
          <t>Tickets=13; closed=11</t>
        </is>
      </c>
      <c r="F8" s="20" t="inlineStr">
        <is>
          <t>Yes</t>
        </is>
      </c>
      <c r="G8" s="15" t="n">
        <v>3</v>
      </c>
      <c r="H8" s="19" t="inlineStr">
        <is>
          <t>Helpdesk_Discipline!A1</t>
        </is>
      </c>
      <c r="I8" s="2" t="n"/>
      <c r="J8" s="15" t="inlineStr">
        <is>
          <t>Yes 3.0 of 3.0. Yes = full marks, No = 0.</t>
        </is>
      </c>
    </row>
    <row r="9" ht="45" customHeight="1">
      <c r="A9" s="15" t="inlineStr">
        <is>
          <t>Q3-2025</t>
        </is>
      </c>
      <c r="B9" s="15" t="inlineStr">
        <is>
          <t>External Bug Count, Ticket Reopen</t>
        </is>
      </c>
      <c r="C9" s="15" t="inlineStr">
        <is>
          <t>Defect themes + rework</t>
        </is>
      </c>
      <c r="D9" s="15" t="inlineStr">
        <is>
          <t>Themes&lt;=4</t>
        </is>
      </c>
      <c r="E9" s="15" t="inlineStr">
        <is>
          <t>Themes=0; Rework=0</t>
        </is>
      </c>
      <c r="F9" s="20" t="inlineStr">
        <is>
          <t>Yes</t>
        </is>
      </c>
      <c r="G9" s="15" t="n">
        <v>4</v>
      </c>
      <c r="H9" s="19" t="inlineStr">
        <is>
          <t>Rework_Reopen_Proxy!A1</t>
        </is>
      </c>
      <c r="I9" s="2" t="n"/>
      <c r="J9" s="15" t="inlineStr">
        <is>
          <t>Yes 4.0 of 4.0. Yes = full marks, No = 0.</t>
        </is>
      </c>
    </row>
    <row r="10" ht="75" customHeight="1">
      <c r="A10" s="15" t="inlineStr">
        <is>
          <t>Q3-2025</t>
        </is>
      </c>
      <c r="B10" s="15" t="inlineStr">
        <is>
          <t>Self Learning</t>
        </is>
      </c>
      <c r="C10" s="15" t="inlineStr">
        <is>
          <t>Web API &amp; SQL Server Optimization POC</t>
        </is>
      </c>
      <c r="D10" s="15" t="inlineStr">
        <is>
          <t>Problem + AC + Tech stack (see Learning_Evidence)</t>
        </is>
      </c>
      <c r="E10" s="15" t="inlineStr">
        <is>
          <t>C#/Web API/T-SQL/Dapper; ~65% query time reduction</t>
        </is>
      </c>
      <c r="F10" s="20" t="inlineStr">
        <is>
          <t>Yes</t>
        </is>
      </c>
      <c r="G10" s="15" t="n">
        <v>3.5</v>
      </c>
      <c r="H10" s="19" t="inlineStr">
        <is>
          <t>Learning_Evidence!A1</t>
        </is>
      </c>
      <c r="I10" s="2" t="n"/>
      <c r="J10" s="15" t="inlineStr">
        <is>
          <t>Yes 3.5 of 3.5. Yes = full marks, No = 0.</t>
        </is>
      </c>
    </row>
    <row r="11" ht="45" customHeight="1">
      <c r="A11" s="63" t="inlineStr">
        <is>
          <t>Q3-2025</t>
        </is>
      </c>
      <c r="B11" s="63" t="inlineStr">
        <is>
          <t>QUARTER SCORE</t>
        </is>
      </c>
      <c r="C11" s="63" t="inlineStr">
        <is>
          <t>Sum of weightage Achieved=Yes</t>
        </is>
      </c>
      <c r="D11" s="63" t="n">
        <v>25</v>
      </c>
      <c r="E11" s="63" t="inlineStr">
        <is>
          <t>25.0 / 25.0</t>
        </is>
      </c>
      <c r="F11" s="33" t="n">
        <v>25</v>
      </c>
      <c r="G11" s="63" t="n">
        <v>25</v>
      </c>
      <c r="H11" s="63" t="inlineStr">
        <is>
          <t>KPI_2025</t>
        </is>
      </c>
      <c r="I11" s="5" t="n"/>
      <c r="J11" s="63" t="inlineStr">
        <is>
          <t>Score for send-out</t>
        </is>
      </c>
    </row>
    <row r="12"/>
    <row r="13" ht="45" customHeight="1">
      <c r="A13" s="15" t="inlineStr">
        <is>
          <t>Q4-2025</t>
        </is>
      </c>
      <c r="B13" s="15" t="inlineStr">
        <is>
          <t>Project Delivery</t>
        </is>
      </c>
      <c r="C13" s="15" t="inlineStr">
        <is>
          <t>Closed / Resolved tickets</t>
        </is>
      </c>
      <c r="D13" s="15" t="inlineStr">
        <is>
          <t>9</t>
        </is>
      </c>
      <c r="E13" s="15" t="n">
        <v>11</v>
      </c>
      <c r="F13" s="20" t="inlineStr">
        <is>
          <t>Yes</t>
        </is>
      </c>
      <c r="G13" s="15" t="n">
        <v>14.5</v>
      </c>
      <c r="H13" s="19" t="inlineStr">
        <is>
          <t>Ticket_Velocity!A1</t>
        </is>
      </c>
      <c r="I13" s="2" t="n"/>
      <c r="J13" s="15" t="inlineStr">
        <is>
          <t>Yes 14.5 of 14.5. Yes = full marks, No = 0.</t>
        </is>
      </c>
    </row>
    <row r="14" ht="30" customHeight="1">
      <c r="A14" s="15" t="inlineStr">
        <is>
          <t>Q4-2025</t>
        </is>
      </c>
      <c r="B14" s="15" t="inlineStr">
        <is>
          <t>Process Adherance</t>
        </is>
      </c>
      <c r="C14" s="15" t="inlineStr">
        <is>
          <t>Process checklist</t>
        </is>
      </c>
      <c r="D14" s="15" t="inlineStr">
        <is>
          <t>&gt;=90%</t>
        </is>
      </c>
      <c r="E14" s="15" t="inlineStr">
        <is>
          <t>Tickets=13; closed=11</t>
        </is>
      </c>
      <c r="F14" s="20" t="inlineStr">
        <is>
          <t>Yes</t>
        </is>
      </c>
      <c r="G14" s="15" t="n">
        <v>3</v>
      </c>
      <c r="H14" s="19" t="inlineStr">
        <is>
          <t>Helpdesk_Discipline!A1</t>
        </is>
      </c>
      <c r="I14" s="2" t="n"/>
      <c r="J14" s="15" t="inlineStr">
        <is>
          <t>Yes 3.0 of 3.0. Yes = full marks, No = 0.</t>
        </is>
      </c>
    </row>
    <row r="15" ht="45" customHeight="1">
      <c r="A15" s="15" t="inlineStr">
        <is>
          <t>Q4-2025</t>
        </is>
      </c>
      <c r="B15" s="15" t="inlineStr">
        <is>
          <t>External Bug Count, Ticket Reopen</t>
        </is>
      </c>
      <c r="C15" s="15" t="inlineStr">
        <is>
          <t>Defect themes + rework</t>
        </is>
      </c>
      <c r="D15" s="15" t="inlineStr">
        <is>
          <t>Themes&lt;=4</t>
        </is>
      </c>
      <c r="E15" s="15" t="inlineStr">
        <is>
          <t>Themes=2; Rework=0</t>
        </is>
      </c>
      <c r="F15" s="20" t="inlineStr">
        <is>
          <t>Yes</t>
        </is>
      </c>
      <c r="G15" s="15" t="n">
        <v>4</v>
      </c>
      <c r="H15" s="19" t="inlineStr">
        <is>
          <t>Rework_Reopen_Proxy!A1</t>
        </is>
      </c>
      <c r="I15" s="2" t="n"/>
      <c r="J15" s="15" t="inlineStr">
        <is>
          <t>Yes 4.0 of 4.0. Yes = full marks, No = 0.</t>
        </is>
      </c>
    </row>
    <row r="16" ht="90" customHeight="1">
      <c r="A16" s="15" t="inlineStr">
        <is>
          <t>Q4-2025</t>
        </is>
      </c>
      <c r="B16" s="15" t="inlineStr">
        <is>
          <t>Self Learning</t>
        </is>
      </c>
      <c r="C16" s="15" t="inlineStr">
        <is>
          <t>.NET API Advancement &amp; Data Integration POC</t>
        </is>
      </c>
      <c r="D16" s="15" t="inlineStr">
        <is>
          <t>Problem + AC + Tech stack (see Learning_Evidence)</t>
        </is>
      </c>
      <c r="E16" s="15" t="inlineStr">
        <is>
          <t>.NET 8 middleware/mapping; ~80% fewer unhandled exceptions</t>
        </is>
      </c>
      <c r="F16" s="20" t="inlineStr">
        <is>
          <t>Yes</t>
        </is>
      </c>
      <c r="G16" s="15" t="n">
        <v>3.5</v>
      </c>
      <c r="H16" s="19" t="inlineStr">
        <is>
          <t>Learning_Evidence!A1</t>
        </is>
      </c>
      <c r="I16" s="2" t="n"/>
      <c r="J16" s="15" t="inlineStr">
        <is>
          <t>Yes 3.5 of 3.5. Yes = full marks, No = 0.</t>
        </is>
      </c>
    </row>
    <row r="17" ht="45" customHeight="1">
      <c r="A17" s="63" t="inlineStr">
        <is>
          <t>Q4-2025</t>
        </is>
      </c>
      <c r="B17" s="63" t="inlineStr">
        <is>
          <t>QUARTER SCORE</t>
        </is>
      </c>
      <c r="C17" s="63" t="inlineStr">
        <is>
          <t>Sum of weightage Achieved=Yes</t>
        </is>
      </c>
      <c r="D17" s="63" t="n">
        <v>25</v>
      </c>
      <c r="E17" s="63" t="inlineStr">
        <is>
          <t>25.0 / 25.0</t>
        </is>
      </c>
      <c r="F17" s="33" t="n">
        <v>25</v>
      </c>
      <c r="G17" s="63" t="n">
        <v>25</v>
      </c>
      <c r="H17" s="63" t="inlineStr">
        <is>
          <t>KPI_2025</t>
        </is>
      </c>
      <c r="I17" s="5" t="n"/>
      <c r="J17" s="63" t="inlineStr">
        <is>
          <t>Score for send-out</t>
        </is>
      </c>
    </row>
    <row r="18"/>
    <row r="19" ht="45" customHeight="1">
      <c r="A19" s="15" t="inlineStr">
        <is>
          <t>Q1-2026</t>
        </is>
      </c>
      <c r="B19" s="15" t="inlineStr">
        <is>
          <t>Execution</t>
        </is>
      </c>
      <c r="C19" s="15" t="inlineStr">
        <is>
          <t>Closed / Resolved tickets</t>
        </is>
      </c>
      <c r="D19" s="15" t="inlineStr">
        <is>
          <t>9</t>
        </is>
      </c>
      <c r="E19" s="15" t="n">
        <v>7</v>
      </c>
      <c r="F19" s="20" t="inlineStr">
        <is>
          <t>Yes</t>
        </is>
      </c>
      <c r="G19" s="15" t="n">
        <v>7.5</v>
      </c>
      <c r="H19" s="19" t="inlineStr">
        <is>
          <t>Ticket_Velocity!A1</t>
        </is>
      </c>
      <c r="I19" s="2" t="n"/>
      <c r="J19" s="15" t="inlineStr">
        <is>
          <t>Yes 7.5 of 7.5. Yes = full marks, No = 0.</t>
        </is>
      </c>
    </row>
    <row r="20" ht="75" customHeight="1">
      <c r="A20" s="15" t="inlineStr">
        <is>
          <t>Q1-2026</t>
        </is>
      </c>
      <c r="B20" s="15" t="inlineStr">
        <is>
          <t>Quality</t>
        </is>
      </c>
      <c r="C20" s="15" t="inlineStr">
        <is>
          <t>Quality proxies (defect themes / rework)</t>
        </is>
      </c>
      <c r="D20" s="15" t="inlineStr">
        <is>
          <t>Themes&lt;=4; Rework&lt;5%</t>
        </is>
      </c>
      <c r="E20" s="15" t="inlineStr">
        <is>
          <t>Themes=1; Rework=0 (0.0%)</t>
        </is>
      </c>
      <c r="F20" s="20" t="inlineStr">
        <is>
          <t>Yes</t>
        </is>
      </c>
      <c r="G20" s="15" t="n">
        <v>12.5</v>
      </c>
      <c r="H20" s="19" t="inlineStr">
        <is>
          <t>Customer_Defect_Themes!A1</t>
        </is>
      </c>
      <c r="I20" s="2" t="n"/>
      <c r="J20" s="15" t="inlineStr">
        <is>
          <t>Yes 12.5 of 12.5. Yes = full marks, No = 0.</t>
        </is>
      </c>
    </row>
    <row r="21" ht="135" customHeight="1">
      <c r="A21" s="15" t="inlineStr">
        <is>
          <t>Q1-2026</t>
        </is>
      </c>
      <c r="B21" s="15" t="inlineStr">
        <is>
          <t>Learning &amp; Development</t>
        </is>
      </c>
      <c r="C21" s="15" t="inlineStr">
        <is>
          <t>POC / AI initiative</t>
        </is>
      </c>
      <c r="D21" s="15" t="inlineStr">
        <is>
          <t>POC in Bitbucket</t>
        </is>
      </c>
      <c r="E21" s="15" t="inlineStr">
        <is>
          <t>POC in Bitbucket: https://bitbucket.org/msnalashaa/performance-learning-development/src/main/</t>
        </is>
      </c>
      <c r="F21" s="20" t="inlineStr">
        <is>
          <t>Yes</t>
        </is>
      </c>
      <c r="G21" s="15" t="n">
        <v>5</v>
      </c>
      <c r="H21" s="19" t="inlineStr">
        <is>
          <t>Learning_Evidence!A1</t>
        </is>
      </c>
      <c r="I21" s="2" t="n"/>
      <c r="J21" s="15" t="inlineStr">
        <is>
          <t>Yes 5.0 of 5.0. Yes = full marks, No = 0.</t>
        </is>
      </c>
    </row>
    <row r="22" ht="45" customHeight="1">
      <c r="A22" s="63" t="inlineStr">
        <is>
          <t>Q1-2026</t>
        </is>
      </c>
      <c r="B22" s="63" t="inlineStr">
        <is>
          <t>QUARTER SCORE</t>
        </is>
      </c>
      <c r="C22" s="63" t="inlineStr">
        <is>
          <t>Sum of weightage Achieved=Yes</t>
        </is>
      </c>
      <c r="D22" s="63" t="n">
        <v>25</v>
      </c>
      <c r="E22" s="63" t="inlineStr">
        <is>
          <t>25.0 / 25.0</t>
        </is>
      </c>
      <c r="F22" s="33" t="n">
        <v>25</v>
      </c>
      <c r="G22" s="63" t="n">
        <v>25</v>
      </c>
      <c r="H22" s="63" t="inlineStr">
        <is>
          <t>KPI_2026</t>
        </is>
      </c>
      <c r="I22" s="5" t="n"/>
      <c r="J22" s="63" t="inlineStr">
        <is>
          <t>Score for send-out</t>
        </is>
      </c>
    </row>
    <row r="23"/>
    <row r="24" ht="45" customHeight="1">
      <c r="A24" s="15" t="inlineStr">
        <is>
          <t>Q2-2026</t>
        </is>
      </c>
      <c r="B24" s="15" t="inlineStr">
        <is>
          <t>Execution</t>
        </is>
      </c>
      <c r="C24" s="15" t="inlineStr">
        <is>
          <t>Closed / Resolved tickets</t>
        </is>
      </c>
      <c r="D24" s="15" t="inlineStr">
        <is>
          <t>9</t>
        </is>
      </c>
      <c r="E24" s="15" t="n">
        <v>16</v>
      </c>
      <c r="F24" s="20" t="inlineStr">
        <is>
          <t>Yes</t>
        </is>
      </c>
      <c r="G24" s="15" t="n">
        <v>7.5</v>
      </c>
      <c r="H24" s="19" t="inlineStr">
        <is>
          <t>Ticket_Velocity!A1</t>
        </is>
      </c>
      <c r="I24" s="2" t="n"/>
      <c r="J24" s="15" t="inlineStr">
        <is>
          <t>Yes 7.5 of 7.5. Yes = full marks, No = 0.</t>
        </is>
      </c>
    </row>
    <row r="25" ht="75" customHeight="1">
      <c r="A25" s="15" t="inlineStr">
        <is>
          <t>Q2-2026</t>
        </is>
      </c>
      <c r="B25" s="15" t="inlineStr">
        <is>
          <t>Quality</t>
        </is>
      </c>
      <c r="C25" s="15" t="inlineStr">
        <is>
          <t>Quality proxies (defect themes / rework)</t>
        </is>
      </c>
      <c r="D25" s="15" t="inlineStr">
        <is>
          <t>Themes&lt;=4; Rework&lt;5%</t>
        </is>
      </c>
      <c r="E25" s="15" t="inlineStr">
        <is>
          <t>Themes=2; Rework=0 (0.0%)</t>
        </is>
      </c>
      <c r="F25" s="20" t="inlineStr">
        <is>
          <t>Yes</t>
        </is>
      </c>
      <c r="G25" s="15" t="n">
        <v>12.5</v>
      </c>
      <c r="H25" s="19" t="inlineStr">
        <is>
          <t>Customer_Defect_Themes!A1</t>
        </is>
      </c>
      <c r="I25" s="2" t="n"/>
      <c r="J25" s="15" t="inlineStr">
        <is>
          <t>Yes 12.5 of 12.5. Yes = full marks, No = 0.</t>
        </is>
      </c>
    </row>
    <row r="26" ht="135" customHeight="1">
      <c r="A26" s="15" t="inlineStr">
        <is>
          <t>Q2-2026</t>
        </is>
      </c>
      <c r="B26" s="15" t="inlineStr">
        <is>
          <t>Learning &amp; Development</t>
        </is>
      </c>
      <c r="C26" s="15" t="inlineStr">
        <is>
          <t>POC / AI initiative</t>
        </is>
      </c>
      <c r="D26" s="15" t="inlineStr">
        <is>
          <t>POC in Bitbucket</t>
        </is>
      </c>
      <c r="E26" s="15" t="inlineStr">
        <is>
          <t>POC in Bitbucket: https://bitbucket.org/msnalashaa/performance-learning-development/src/main/</t>
        </is>
      </c>
      <c r="F26" s="20" t="inlineStr">
        <is>
          <t>Yes</t>
        </is>
      </c>
      <c r="G26" s="15" t="n">
        <v>5</v>
      </c>
      <c r="H26" s="19" t="inlineStr">
        <is>
          <t>Learning_Evidence!A1</t>
        </is>
      </c>
      <c r="I26" s="2" t="n"/>
      <c r="J26" s="15" t="inlineStr">
        <is>
          <t>Yes 5.0 of 5.0. Yes = full marks, No = 0.</t>
        </is>
      </c>
    </row>
    <row r="27" ht="45" customHeight="1">
      <c r="A27" s="63" t="inlineStr">
        <is>
          <t>Q2-2026</t>
        </is>
      </c>
      <c r="B27" s="63" t="inlineStr">
        <is>
          <t>QUARTER SCORE</t>
        </is>
      </c>
      <c r="C27" s="63" t="inlineStr">
        <is>
          <t>Sum of weightage Achieved=Yes</t>
        </is>
      </c>
      <c r="D27" s="63" t="n">
        <v>25</v>
      </c>
      <c r="E27" s="63" t="inlineStr">
        <is>
          <t>25.0 / 25.0</t>
        </is>
      </c>
      <c r="F27" s="33" t="n">
        <v>25</v>
      </c>
      <c r="G27" s="63" t="n">
        <v>25</v>
      </c>
      <c r="H27" s="63" t="inlineStr">
        <is>
          <t>KPI_2026</t>
        </is>
      </c>
      <c r="I27" s="5" t="n"/>
      <c r="J27" s="63" t="inlineStr">
        <is>
          <t>Score for send-out</t>
        </is>
      </c>
    </row>
    <row r="28"/>
    <row r="29" ht="105" customHeight="1">
      <c r="A29" s="34" t="inlineStr">
        <is>
          <t>VALIDATION — Ticket totals vs Tickets_Master_Utkarsh (source of truth)</t>
        </is>
      </c>
    </row>
    <row r="30" ht="30" customHeight="1">
      <c r="A30" s="35" t="inlineStr">
        <is>
          <t>Scope</t>
        </is>
      </c>
      <c r="B30" s="35" t="inlineStr">
        <is>
          <t>Total tickets</t>
        </is>
      </c>
      <c r="C30" s="35" t="inlineStr">
        <is>
          <t>Closed</t>
        </is>
      </c>
      <c r="D30" s="35" t="inlineStr">
        <is>
          <t>Open</t>
        </is>
      </c>
      <c r="E30" s="35" t="inlineStr">
        <is>
          <t>Code Change</t>
        </is>
      </c>
      <c r="F30" s="35" t="inlineStr">
        <is>
          <t>SP Change</t>
        </is>
      </c>
      <c r="G30" s="35" t="inlineStr">
        <is>
          <t>Code Lines</t>
        </is>
      </c>
      <c r="H30" s="36" t="inlineStr">
        <is>
          <t>SQL/Progress Lines</t>
        </is>
      </c>
    </row>
    <row r="31">
      <c r="A31" s="17" t="inlineStr">
        <is>
          <t>All master</t>
        </is>
      </c>
      <c r="B31" s="17" t="n">
        <v>55</v>
      </c>
      <c r="C31" s="17" t="n">
        <v>47</v>
      </c>
      <c r="D31" s="17" t="n">
        <v>8</v>
      </c>
      <c r="E31" s="17" t="n">
        <v>35</v>
      </c>
      <c r="F31" s="17" t="n">
        <v>31</v>
      </c>
      <c r="G31" s="17" t="n">
        <v>2581</v>
      </c>
      <c r="H31" s="15" t="n">
        <v>973</v>
      </c>
    </row>
    <row r="32" ht="30" customHeight="1">
      <c r="A32" s="17" t="inlineStr">
        <is>
          <t>Appraisal quarters only</t>
        </is>
      </c>
      <c r="B32" s="17" t="n">
        <v>51</v>
      </c>
      <c r="C32" s="17" t="n">
        <v>45</v>
      </c>
      <c r="D32" s="17" t="n">
        <v>6</v>
      </c>
      <c r="E32" s="17" t="n">
        <v>31</v>
      </c>
      <c r="F32" s="17" t="n">
        <v>30</v>
      </c>
      <c r="G32" s="17" t="n">
        <v>2318</v>
      </c>
    </row>
    <row r="33"/>
    <row r="34" ht="60" customHeight="1">
      <c r="A34" s="34" t="inlineStr">
        <is>
          <t>Per-quarter (must match Ticket_Velocity)</t>
        </is>
      </c>
    </row>
    <row r="35" ht="30" customHeight="1">
      <c r="A35" s="35" t="inlineStr">
        <is>
          <t>Quarter</t>
        </is>
      </c>
      <c r="B35" s="35" t="inlineStr">
        <is>
          <t>Total</t>
        </is>
      </c>
      <c r="C35" s="35" t="inlineStr">
        <is>
          <t>Closed</t>
        </is>
      </c>
      <c r="D35" s="35" t="inlineStr">
        <is>
          <t>Open</t>
        </is>
      </c>
      <c r="E35" s="35" t="inlineStr">
        <is>
          <t>Matches Velocity</t>
        </is>
      </c>
    </row>
    <row r="36" ht="30" customHeight="1">
      <c r="A36" s="17" t="inlineStr">
        <is>
          <t>Q3-2025</t>
        </is>
      </c>
      <c r="B36" s="17" t="n">
        <v>13</v>
      </c>
      <c r="C36" s="17" t="n">
        <v>11</v>
      </c>
      <c r="D36" s="17" t="n">
        <v>2</v>
      </c>
      <c r="E36" s="17" t="inlineStr">
        <is>
          <t>Yes — from master</t>
        </is>
      </c>
    </row>
    <row r="37" ht="30" customHeight="1">
      <c r="A37" s="17" t="inlineStr">
        <is>
          <t>Q4-2025</t>
        </is>
      </c>
      <c r="B37" s="17" t="n">
        <v>13</v>
      </c>
      <c r="C37" s="17" t="n">
        <v>11</v>
      </c>
      <c r="D37" s="17" t="n">
        <v>2</v>
      </c>
      <c r="E37" s="17" t="inlineStr">
        <is>
          <t>Yes — from master</t>
        </is>
      </c>
    </row>
    <row r="38" ht="30" customHeight="1">
      <c r="A38" s="17" t="inlineStr">
        <is>
          <t>Q1-2026</t>
        </is>
      </c>
      <c r="B38" s="17" t="n">
        <v>8</v>
      </c>
      <c r="C38" s="17" t="n">
        <v>7</v>
      </c>
      <c r="D38" s="17" t="n">
        <v>1</v>
      </c>
      <c r="E38" s="17" t="inlineStr">
        <is>
          <t>Yes — from master</t>
        </is>
      </c>
    </row>
    <row r="39" ht="30" customHeight="1">
      <c r="A39" s="17" t="inlineStr">
        <is>
          <t>Q2-2026</t>
        </is>
      </c>
      <c r="B39" s="17" t="n">
        <v>17</v>
      </c>
      <c r="C39" s="17" t="n">
        <v>16</v>
      </c>
      <c r="D39" s="17" t="n">
        <v>1</v>
      </c>
      <c r="E39" s="17" t="inlineStr">
        <is>
          <t>Yes — from master</t>
        </is>
      </c>
    </row>
    <row r="40" ht="30" customHeight="1">
      <c r="A40" s="17" t="inlineStr">
        <is>
          <t>Q3-2026</t>
        </is>
      </c>
      <c r="B40" s="17" t="n">
        <v>4</v>
      </c>
      <c r="C40" s="17" t="n">
        <v>2</v>
      </c>
      <c r="D40" s="17" t="n">
        <v>2</v>
      </c>
      <c r="E40" s="17" t="inlineStr">
        <is>
          <t>Yes — from master</t>
        </is>
      </c>
    </row>
  </sheetData>
  <mergeCells count="3">
    <mergeCell ref="A1:C1"/>
    <mergeCell ref="A4:J4"/>
    <mergeCell ref="A3:J3"/>
  </mergeCells>
  <hyperlinks>
    <hyperlink ref="A1" location="Utkarsh_OKR_Checklist!A1" display="Utkarsh_OKR_Checklist!A1"/>
    <hyperlink xmlns:r="http://schemas.openxmlformats.org/officeDocument/2006/relationships" ref="A4" r:id="rId1"/>
    <hyperlink ref="H7" location="Ticket_Velocity!A1" display="Ticket_Velocity!A1"/>
    <hyperlink ref="H8" location="Helpdesk_Discipline!A1" display="Helpdesk_Discipline!A1"/>
    <hyperlink ref="H9" location="Rework_Reopen_Proxy!A1" display="Rework_Reopen_Proxy!A1"/>
    <hyperlink ref="H10" location="Learning_Evidence!A1" display="Learning_Evidence!A1"/>
    <hyperlink ref="H13" location="Ticket_Velocity!A1" display="Ticket_Velocity!A1"/>
    <hyperlink ref="H14" location="Helpdesk_Discipline!A1" display="Helpdesk_Discipline!A1"/>
    <hyperlink ref="H15" location="Rework_Reopen_Proxy!A1" display="Rework_Reopen_Proxy!A1"/>
    <hyperlink ref="H16" location="Learning_Evidence!A1" display="Learning_Evidence!A1"/>
    <hyperlink ref="H19" location="Ticket_Velocity!A1" display="Ticket_Velocity!A1"/>
    <hyperlink ref="H20" location="Customer_Defect_Themes!A1" display="Customer_Defect_Themes!A1"/>
    <hyperlink ref="H21" location="Learning_Evidence!A1" display="Learning_Evidence!A1"/>
    <hyperlink ref="H24" location="Ticket_Velocity!A1" display="Ticket_Velocity!A1"/>
    <hyperlink ref="H25" location="Customer_Defect_Themes!A1" display="Customer_Defect_Themes!A1"/>
    <hyperlink ref="H26" location="Learning_Evidence!A1" display="Learning_Evidence!A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topLeftCell="A4" workbookViewId="0">
      <selection activeCell="F10" sqref="F10"/>
    </sheetView>
  </sheetViews>
  <sheetFormatPr baseColWidth="8" defaultRowHeight="15"/>
  <cols>
    <col width="14" customWidth="1" min="1" max="2"/>
    <col width="19" customWidth="1" min="3" max="3"/>
    <col width="20" customWidth="1" min="4" max="4"/>
    <col width="22" customWidth="1" min="5" max="5"/>
    <col width="14" customWidth="1" min="6" max="6"/>
    <col width="23" customWidth="1" min="7" max="7"/>
    <col width="24" customWidth="1" min="8" max="8"/>
    <col width="22" customWidth="1" min="9" max="9"/>
    <col width="14" customWidth="1" min="10" max="10"/>
  </cols>
  <sheetData>
    <row r="1" ht="30" customHeight="1">
      <c r="A1" s="19" t="inlineStr">
        <is>
          <t>Utkarsh_OKR_Checklist!A1</t>
        </is>
      </c>
      <c r="B1" s="30" t="inlineStr">
        <is>
          <t>Utkarsh_OKR_Checklist!A1</t>
        </is>
      </c>
    </row>
    <row r="3" ht="72" customHeight="1">
      <c r="A3" s="69" t="inlineStr">
        <is>
          <t>Learning_Evidence — Self Learning / L&amp;D POCs (quarter by quarter)</t>
        </is>
      </c>
      <c r="B3" s="61" t="n"/>
      <c r="C3" s="61" t="n"/>
      <c r="D3" s="61" t="n"/>
      <c r="E3" s="61" t="n"/>
      <c r="F3" s="61" t="n"/>
      <c r="G3" s="61" t="n"/>
      <c r="H3" s="61" t="n"/>
      <c r="I3" s="61" t="n"/>
      <c r="J3" s="62" t="n"/>
    </row>
    <row r="4" ht="72" customHeight="1">
      <c r="A4" s="63" t="inlineStr">
        <is>
          <t>Appraisal scope: 2025 Q3–Q4 + 2026 Q1–Q2. 2025 POC details from PMS/Utkarsh/learning_and_development_plan_2025.md. 2026 POC repo: https://bitbucket.org/msnalashaa/performance-learning-development/src/main/. Q2-2025 / Q3–Q4 2026 out of scope.</t>
        </is>
      </c>
      <c r="B4" s="61" t="n"/>
      <c r="C4" s="61" t="n"/>
      <c r="D4" s="61" t="n"/>
      <c r="E4" s="61" t="n"/>
      <c r="F4" s="61" t="n"/>
      <c r="G4" s="61" t="n"/>
      <c r="H4" s="61" t="n"/>
      <c r="I4" s="61" t="n"/>
      <c r="J4" s="62" t="n"/>
    </row>
    <row r="6" ht="21.95" customFormat="1" customHeight="1" s="6">
      <c r="A6" s="14" t="inlineStr">
        <is>
          <t>Quarter</t>
        </is>
      </c>
      <c r="B6" s="14" t="inlineStr">
        <is>
          <t>KPI</t>
        </is>
      </c>
      <c r="C6" s="14" t="inlineStr">
        <is>
          <t>POC / Focus Area</t>
        </is>
      </c>
      <c r="D6" s="14" t="inlineStr">
        <is>
          <t>Problem Statement</t>
        </is>
      </c>
      <c r="E6" s="14" t="inlineStr">
        <is>
          <t>Acceptance Criteria</t>
        </is>
      </c>
      <c r="F6" s="14" t="inlineStr">
        <is>
          <t>Tech Stack</t>
        </is>
      </c>
      <c r="G6" s="14" t="inlineStr">
        <is>
          <t>Evidence Link / Path</t>
        </is>
      </c>
      <c r="H6" s="14" t="inlineStr">
        <is>
          <t>Achieved/Not Achieved</t>
        </is>
      </c>
      <c r="I6" s="14" t="inlineStr">
        <is>
          <t>Primary Deliverable</t>
        </is>
      </c>
      <c r="J6" s="14" t="inlineStr">
        <is>
          <t>Comments</t>
        </is>
      </c>
    </row>
    <row r="7" ht="72" customHeight="1">
      <c r="A7" s="15" t="inlineStr">
        <is>
          <t>Q3-2025</t>
        </is>
      </c>
      <c r="B7" s="15" t="inlineStr">
        <is>
          <t>Self Learning</t>
        </is>
      </c>
      <c r="C7" s="15" t="inlineStr">
        <is>
          <t>Web API &amp; SQL Server Optimization POC</t>
        </is>
      </c>
      <c r="D7" s="15" t="inlineStr">
        <is>
          <t>MDM/EPC Helpdesk queries against multi-join tables (MdmPartMaster, EplHierarchy, ServiceBomMapping) were slow due to table scans and blocking sync DB calls. Needed a Web API + SQL tuning approach that can be applied on support work without blocking the request loop.</t>
        </is>
      </c>
      <c r="E7" s="15" t="inlineStr">
        <is>
          <t>1) C# Web API module executes optimized T-SQL/diagnostic queries via Dapper.
2) Indexing / execution-plan guidance avoids table scans on target joins.
3) async/await DB access eliminates main-loop blocking.
4) Measurable outcome: ~65% reduction in SQL query execution time vs baseline.
5) Short demo / learning note submitted for Q3 Self Learning KPI.</t>
        </is>
      </c>
      <c r="F7" s="15" t="inlineStr">
        <is>
          <t>C#; ASP.NET Web API; T-SQL; SQL Server; Dapper; Microsoft.Data.SqlClient; async/await</t>
        </is>
      </c>
      <c r="G7" s="15" t="inlineStr">
        <is>
          <t>PMS/Utkarsh/learning_and_development_plan_2025.md</t>
        </is>
      </c>
      <c r="H7" s="27" t="inlineStr">
        <is>
          <t>Yes</t>
        </is>
      </c>
      <c r="I7" s="15" t="inlineStr">
        <is>
          <t>High-performance SQL query tuning &amp; stored procedure patterns (applied on MDM/EPC)</t>
        </is>
      </c>
      <c r="J7" s="15" t="inlineStr">
        <is>
          <t>Per learning_and_development_plan_2025.md — Q3 POC</t>
        </is>
      </c>
    </row>
    <row r="8" ht="72" customHeight="1">
      <c r="A8" s="15" t="inlineStr">
        <is>
          <t>Q4-2025</t>
        </is>
      </c>
      <c r="B8" s="15" t="inlineStr">
        <is>
          <t>Self Learning</t>
        </is>
      </c>
      <c r="C8" s="15" t="inlineStr">
        <is>
          <t>.NET API Advancement &amp; Data Integration POC</t>
        </is>
      </c>
      <c r="D8" s="15" t="inlineStr">
        <is>
          <t>API runtime exceptions and brittle DTO↔entity mapping caused defect leakage on edge cases (orphan EPL parent mappings, quantity mismatches). Needed enterprise middleware, global exception handling, and robust data-pipeline transformations on .NET APIs used in MDM/EPC work.</t>
        </is>
      </c>
      <c r="E8" s="15" t="inlineStr">
        <is>
          <t>1) Enterprise API with global exception-handling middleware.
2) Custom model binders + automated DTO↔entity mapping.
3) Edge-case transforms covered (orphan EPL parents, quantity mismatch detection).
4) Measurable outcome: ~80% decrease in unhandled API runtime exceptions.
5) Short demo / learning note submitted for Q4 Self Learning KPI.</t>
        </is>
      </c>
      <c r="F8" s="15" t="inlineStr">
        <is>
          <t>.NET 8; C#; ASP.NET Core Middleware; Custom model binders; DTO/entity mapping</t>
        </is>
      </c>
      <c r="G8" s="15" t="inlineStr">
        <is>
          <t>PMS/Utkarsh/learning_and_development_plan_2025.md</t>
        </is>
      </c>
      <c r="H8" s="27" t="inlineStr">
        <is>
          <t>Yes</t>
        </is>
      </c>
      <c r="I8" s="15" t="inlineStr">
        <is>
          <t>Enterprise middleware, custom exception handling &amp; data mapping</t>
        </is>
      </c>
      <c r="J8" s="15" t="inlineStr">
        <is>
          <t>Per learning_and_development_plan_2025.md — Q4 POC</t>
        </is>
      </c>
    </row>
    <row r="9" ht="72" customHeight="1">
      <c r="A9" s="15" t="inlineStr">
        <is>
          <t>Q1-2026</t>
        </is>
      </c>
      <c r="B9" s="15" t="inlineStr">
        <is>
          <t>Learning &amp; Development</t>
        </is>
      </c>
      <c r="C9" s="15" t="inlineStr">
        <is>
          <t>AI/Automation initiative POC</t>
        </is>
      </c>
      <c r="D9" s="15" t="inlineStr">
        <is>
          <t>Manual PR/code review and SDLC checks consume cycle time. Need an AI-assisted initiative that delivers &gt;10% optimization in at least one SDLC process (review / quality gates).</t>
        </is>
      </c>
      <c r="E9" s="15" t="inlineStr">
        <is>
          <t>1) AI/Automation POC committed to team repo.
2) Demonstrates AI-assisted workflow on real development process.
3) Targets &gt;10% optimization in review/SDLC step.
4) Evidence link available for appraisal.</t>
        </is>
      </c>
      <c r="F9" s="15" t="inlineStr">
        <is>
          <t>AI-assisted tooling (Cursor/ChatGPT); repo under performance-learning-development</t>
        </is>
      </c>
      <c r="G9" s="37" t="inlineStr">
        <is>
          <t>https://bitbucket.org/msnalashaa/performance-learning-development/src/main/</t>
        </is>
      </c>
      <c r="H9" s="27" t="inlineStr">
        <is>
          <t>Yes</t>
        </is>
      </c>
      <c r="I9" s="15" t="inlineStr">
        <is>
          <t>AI/Automation POC in Bitbucket</t>
        </is>
      </c>
      <c r="J9" s="15" t="inlineStr">
        <is>
          <t>POC source committed — Bitbucket performance-learning-development</t>
        </is>
      </c>
    </row>
    <row r="10" ht="72" customHeight="1">
      <c r="A10" s="15" t="inlineStr">
        <is>
          <t>Q2-2026</t>
        </is>
      </c>
      <c r="B10" s="15" t="inlineStr">
        <is>
          <t>Learning &amp; Development</t>
        </is>
      </c>
      <c r="C10" s="15" t="inlineStr">
        <is>
          <t>AI/Automation / .NET API learning POC</t>
        </is>
      </c>
      <c r="D10" s="15" t="inlineStr">
        <is>
          <t>Continue AI-assisted SDLC optimization and deepen .NET API patterns so Helpdesk delivery benefits from reusable automation and API fundamentals.</t>
        </is>
      </c>
      <c r="E10" s="15" t="inlineStr">
        <is>
          <t>1) AI/Automation (or .NET API) POC available in shared repo.
2) Supports &gt;10% SDLC optimization narrative for Q2 L&amp;D KPI.
3) Evidence link for appraisal / demo.</t>
        </is>
      </c>
      <c r="F10" s="15" t="inlineStr">
        <is>
          <t>AI-assisted tooling; .NET API patterns; Bitbucket performance-learning-development</t>
        </is>
      </c>
      <c r="G10" s="30" t="inlineStr">
        <is>
          <t>https://bitbucket.org/msnalashaa/performance-learning-development/src/main/</t>
        </is>
      </c>
      <c r="H10" s="27" t="inlineStr">
        <is>
          <t>Yes</t>
        </is>
      </c>
      <c r="I10" s="15" t="inlineStr">
        <is>
          <t>AI/Automation / .NET API POC in Bitbucket</t>
        </is>
      </c>
      <c r="J10" s="15" t="inlineStr">
        <is>
          <t>POC source committed — Bitbucket performance-learning-development</t>
        </is>
      </c>
    </row>
    <row r="11" ht="72" customHeight="1">
      <c r="G11" s="19" t="inlineStr">
        <is>
          <t>https://bitbucket.org/msnalashaa/performance-learning-development/src/main/</t>
        </is>
      </c>
    </row>
  </sheetData>
  <mergeCells count="2">
    <mergeCell ref="A4:J4"/>
    <mergeCell ref="A3:J3"/>
  </mergeCells>
  <hyperlinks>
    <hyperlink ref="A1" location="Utkarsh_OKR_Checklist!A1" display="Utkarsh_OKR_Checklist!A1"/>
    <hyperlink ref="B1" location="Utkarsh_OKR_Checklist!A1" display="Utkarsh_OKR_Checklist!A1"/>
    <hyperlink xmlns:r="http://schemas.openxmlformats.org/officeDocument/2006/relationships" ref="G9" r:id="rId1"/>
    <hyperlink xmlns:r="http://schemas.openxmlformats.org/officeDocument/2006/relationships" ref="G10" r:id="rId2"/>
    <hyperlink xmlns:r="http://schemas.openxmlformats.org/officeDocument/2006/relationships" ref="G11" r:id="rId3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L13" sqref="L13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8"/>
  </cols>
  <sheetData>
    <row r="1" ht="30" customHeight="1">
      <c r="A1" s="67" t="inlineStr">
        <is>
          <t>Utkarsh_OKR_Checklist!A1</t>
        </is>
      </c>
    </row>
    <row r="3">
      <c r="A3" s="70" t="inlineStr">
        <is>
          <t>Ticket_Velocity — governed by Tickets_Master_Utkarsh</t>
        </is>
      </c>
    </row>
    <row r="4">
      <c r="A4" s="72" t="inlineStr">
        <is>
          <t>Counts = Closed/Resolved from master Quarter column (derived from Closure Date, else Month/Assign). Target = 9/quarter (3/month). Yes if closed &gt;= 9 OR &gt;= 6 (70%).</t>
        </is>
      </c>
    </row>
    <row r="6" ht="21.95" customHeight="1">
      <c r="A6" s="14" t="inlineStr">
        <is>
          <t>Quarter</t>
        </is>
      </c>
      <c r="B6" s="14" t="inlineStr">
        <is>
          <t>Total Tickets</t>
        </is>
      </c>
      <c r="C6" s="14" t="inlineStr">
        <is>
          <t>Closed/Resolved</t>
        </is>
      </c>
      <c r="D6" s="14" t="inlineStr">
        <is>
          <t>Open</t>
        </is>
      </c>
      <c r="E6" s="14" t="inlineStr">
        <is>
          <t>Target</t>
        </is>
      </c>
      <c r="F6" s="14" t="inlineStr">
        <is>
          <t>Yes/No</t>
        </is>
      </c>
      <c r="G6" s="14" t="inlineStr">
        <is>
          <t>Comments</t>
        </is>
      </c>
      <c r="H6" s="14" t="inlineStr">
        <is>
          <t>Source</t>
        </is>
      </c>
    </row>
    <row r="7" ht="30" customHeight="1">
      <c r="A7" s="17" t="inlineStr">
        <is>
          <t>Q3-2025</t>
        </is>
      </c>
      <c r="B7" s="17" t="n">
        <v>13</v>
      </c>
      <c r="C7" s="17" t="n">
        <v>11</v>
      </c>
      <c r="D7" s="17" t="n">
        <v>2</v>
      </c>
      <c r="E7" s="17" t="n">
        <v>9</v>
      </c>
      <c r="F7" s="27" t="inlineStr">
        <is>
          <t>Yes</t>
        </is>
      </c>
      <c r="G7" s="17" t="inlineStr">
        <is>
          <t>Met target (11/9)</t>
        </is>
      </c>
      <c r="H7" s="17" t="inlineStr">
        <is>
          <t>Tickets_Master_Utkarsh</t>
        </is>
      </c>
    </row>
    <row r="8" ht="30" customHeight="1">
      <c r="A8" s="17" t="inlineStr">
        <is>
          <t>Q4-2025</t>
        </is>
      </c>
      <c r="B8" s="17" t="n">
        <v>13</v>
      </c>
      <c r="C8" s="17" t="n">
        <v>11</v>
      </c>
      <c r="D8" s="17" t="n">
        <v>2</v>
      </c>
      <c r="E8" s="17" t="n">
        <v>9</v>
      </c>
      <c r="F8" s="27" t="inlineStr">
        <is>
          <t>Yes</t>
        </is>
      </c>
      <c r="G8" s="17" t="inlineStr">
        <is>
          <t>Met target (11/9)</t>
        </is>
      </c>
      <c r="H8" s="17" t="inlineStr">
        <is>
          <t>Tickets_Master_Utkarsh</t>
        </is>
      </c>
    </row>
    <row r="9" ht="45" customHeight="1">
      <c r="A9" s="17" t="inlineStr">
        <is>
          <t>Q1-2026</t>
        </is>
      </c>
      <c r="B9" s="17" t="n">
        <v>8</v>
      </c>
      <c r="C9" s="17" t="n">
        <v>7</v>
      </c>
      <c r="D9" s="17" t="n">
        <v>1</v>
      </c>
      <c r="E9" s="17" t="n">
        <v>9</v>
      </c>
      <c r="F9" s="27" t="inlineStr">
        <is>
          <t>Yes</t>
        </is>
      </c>
      <c r="G9" s="17" t="inlineStr">
        <is>
          <t>Met 70% threshold (7/9)</t>
        </is>
      </c>
      <c r="H9" s="17" t="inlineStr">
        <is>
          <t>Tickets_Master_Utkarsh</t>
        </is>
      </c>
    </row>
    <row r="10" ht="30" customHeight="1">
      <c r="A10" s="17" t="inlineStr">
        <is>
          <t>Q2-2026</t>
        </is>
      </c>
      <c r="B10" s="17" t="n">
        <v>17</v>
      </c>
      <c r="C10" s="17" t="n">
        <v>16</v>
      </c>
      <c r="D10" s="17" t="n">
        <v>1</v>
      </c>
      <c r="E10" s="17" t="n">
        <v>9</v>
      </c>
      <c r="F10" s="27" t="inlineStr">
        <is>
          <t>Yes</t>
        </is>
      </c>
      <c r="G10" s="17" t="inlineStr">
        <is>
          <t>Met target (16/9)</t>
        </is>
      </c>
      <c r="H10" s="17" t="inlineStr">
        <is>
          <t>Tickets_Master_Utkarsh</t>
        </is>
      </c>
    </row>
    <row r="12" ht="30" customHeight="1">
      <c r="A12" s="34" t="inlineStr">
        <is>
          <t>MASTER TOTALS</t>
        </is>
      </c>
    </row>
    <row r="13" ht="30" customHeight="1">
      <c r="A13" s="35" t="inlineStr">
        <is>
          <t>Scope</t>
        </is>
      </c>
      <c r="B13" s="35" t="inlineStr">
        <is>
          <t>Total</t>
        </is>
      </c>
      <c r="C13" s="35" t="inlineStr">
        <is>
          <t>Closed</t>
        </is>
      </c>
      <c r="D13" s="35" t="inlineStr">
        <is>
          <t>Open</t>
        </is>
      </c>
      <c r="E13" s="35" t="inlineStr">
        <is>
          <t>Code Change</t>
        </is>
      </c>
      <c r="F13" s="35" t="inlineStr">
        <is>
          <t>SP Change</t>
        </is>
      </c>
      <c r="G13" s="35" t="inlineStr">
        <is>
          <t>Code Lines</t>
        </is>
      </c>
      <c r="H13" s="35" t="inlineStr">
        <is>
          <t>SQL Lines</t>
        </is>
      </c>
    </row>
    <row r="14" ht="30" customHeight="1">
      <c r="A14" s="17" t="inlineStr">
        <is>
          <t>All master tickets</t>
        </is>
      </c>
      <c r="B14" s="17" t="n">
        <v>55</v>
      </c>
      <c r="C14" s="17" t="n">
        <v>47</v>
      </c>
      <c r="D14" s="17" t="n">
        <v>8</v>
      </c>
      <c r="E14" s="17" t="n">
        <v>35</v>
      </c>
      <c r="F14" s="17" t="n">
        <v>31</v>
      </c>
      <c r="G14" s="17" t="n">
        <v>2581</v>
      </c>
      <c r="H14" s="17" t="n">
        <v>917</v>
      </c>
    </row>
    <row r="15" ht="45" customHeight="1">
      <c r="A15" s="17" t="inlineStr">
        <is>
          <t>Appraisal only (Q3-2025..Q2-2026)</t>
        </is>
      </c>
      <c r="B15" s="17" t="n">
        <v>51</v>
      </c>
      <c r="C15" s="17" t="n">
        <v>45</v>
      </c>
      <c r="D15" s="17" t="n">
        <v>6</v>
      </c>
      <c r="E15" s="17" t="n">
        <v>31</v>
      </c>
      <c r="F15" s="17" t="n">
        <v>30</v>
      </c>
      <c r="G15" s="17" t="n">
        <v>2318</v>
      </c>
      <c r="H15" s="17" t="n">
        <v>882</v>
      </c>
    </row>
  </sheetData>
  <mergeCells count="3">
    <mergeCell ref="A4:H4"/>
    <mergeCell ref="A3:H3"/>
    <mergeCell ref="A1:B1"/>
  </mergeCells>
  <hyperlinks>
    <hyperlink ref="A1" location="Utkarsh_OKR_Checklist!A1" display="Utkarsh_OKR_Checklist!A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6" sqref="A6:G10"/>
    </sheetView>
  </sheetViews>
  <sheetFormatPr baseColWidth="8" defaultRowHeight="15"/>
  <cols>
    <col width="14" bestFit="1" customWidth="1" min="1" max="1"/>
    <col width="14" customWidth="1" min="2" max="2"/>
    <col width="15" customWidth="1" min="3" max="3"/>
    <col width="14" customWidth="1" min="4" max="4"/>
    <col width="24" customWidth="1" min="5" max="5"/>
    <col width="19" customWidth="1" min="6" max="6"/>
    <col width="14" customWidth="1" min="7" max="7"/>
  </cols>
  <sheetData>
    <row r="1" ht="30" customHeight="1">
      <c r="A1" s="19" t="inlineStr">
        <is>
          <t>Utkarsh_OKR_Checklist!A1</t>
        </is>
      </c>
      <c r="B1" s="19" t="inlineStr">
        <is>
          <t>Utkarsh_OKR_Checklist!A1</t>
        </is>
      </c>
    </row>
    <row r="3" ht="72" customHeight="1">
      <c r="A3" s="60" t="inlineStr">
        <is>
          <t>Ticket_Spillover (open Helpdesk tickets as spill proxy)</t>
        </is>
      </c>
      <c r="B3" s="61" t="n"/>
      <c r="C3" s="61" t="n"/>
      <c r="D3" s="61" t="n"/>
      <c r="E3" s="61" t="n"/>
      <c r="F3" s="61" t="n"/>
      <c r="G3" s="62" t="n"/>
    </row>
    <row r="4" ht="72" customHeight="1">
      <c r="A4" s="63" t="inlineStr">
        <is>
          <t>Open tickets (InProgress / OnHold / In-UAT / Approver) as spill proxy — no Jira sprint spill field.</t>
        </is>
      </c>
      <c r="B4" s="61" t="n"/>
      <c r="C4" s="61" t="n"/>
      <c r="D4" s="61" t="n"/>
      <c r="E4" s="61" t="n"/>
      <c r="F4" s="61" t="n"/>
      <c r="G4" s="62" t="n"/>
    </row>
    <row r="6" ht="21.95" customHeight="1">
      <c r="A6" s="14" t="inlineStr">
        <is>
          <t>Quarter</t>
        </is>
      </c>
      <c r="B6" s="14" t="inlineStr">
        <is>
          <t>Total</t>
        </is>
      </c>
      <c r="C6" s="14" t="inlineStr">
        <is>
          <t>Open (spill)</t>
        </is>
      </c>
      <c r="D6" s="14" t="inlineStr">
        <is>
          <t>Spill %</t>
        </is>
      </c>
      <c r="E6" s="14" t="inlineStr">
        <is>
          <t>Achieved/Not Achieved</t>
        </is>
      </c>
      <c r="F6" s="14" t="inlineStr">
        <is>
          <t>Open Ticket Nos.</t>
        </is>
      </c>
      <c r="G6" s="14" t="inlineStr">
        <is>
          <t>Comments</t>
        </is>
      </c>
    </row>
    <row r="7" ht="45" customHeight="1">
      <c r="A7" s="15" t="inlineStr">
        <is>
          <t>Q1-2026</t>
        </is>
      </c>
      <c r="B7" s="15" t="n">
        <v>8</v>
      </c>
      <c r="C7" s="15" t="n">
        <v>1</v>
      </c>
      <c r="D7" s="15" t="n">
        <v>12.5</v>
      </c>
      <c r="E7" s="27" t="inlineStr">
        <is>
          <t>Yes</t>
        </is>
      </c>
      <c r="F7" s="15" t="inlineStr">
        <is>
          <t>21546</t>
        </is>
      </c>
      <c r="G7" s="15" t="inlineStr">
        <is>
          <t>Achieved if open&lt;=2 or spill%&lt;=20</t>
        </is>
      </c>
    </row>
    <row r="8" ht="45" customHeight="1">
      <c r="A8" s="15" t="inlineStr">
        <is>
          <t>Q2-2026</t>
        </is>
      </c>
      <c r="B8" s="15" t="n">
        <v>17</v>
      </c>
      <c r="C8" s="15" t="n">
        <v>1</v>
      </c>
      <c r="D8" s="15" t="n">
        <v>5.9</v>
      </c>
      <c r="E8" s="27" t="inlineStr">
        <is>
          <t>Yes</t>
        </is>
      </c>
      <c r="F8" s="15" t="inlineStr">
        <is>
          <t>16146</t>
        </is>
      </c>
      <c r="G8" s="15" t="inlineStr">
        <is>
          <t>Achieved if open&lt;=2 or spill%&lt;=20</t>
        </is>
      </c>
    </row>
    <row r="9" ht="45" customHeight="1">
      <c r="A9" s="15" t="inlineStr">
        <is>
          <t>Q3-2025</t>
        </is>
      </c>
      <c r="B9" s="15" t="n">
        <v>13</v>
      </c>
      <c r="C9" s="15" t="n">
        <v>2</v>
      </c>
      <c r="D9" s="15" t="n">
        <v>15.4</v>
      </c>
      <c r="E9" s="27" t="inlineStr">
        <is>
          <t>Yes</t>
        </is>
      </c>
      <c r="F9" s="15" t="inlineStr">
        <is>
          <t>17996, 26181</t>
        </is>
      </c>
      <c r="G9" s="15" t="inlineStr">
        <is>
          <t>Achieved if open&lt;=2 or spill%&lt;=20</t>
        </is>
      </c>
    </row>
    <row r="10" ht="45" customHeight="1">
      <c r="A10" s="15" t="inlineStr">
        <is>
          <t>Q4-2025</t>
        </is>
      </c>
      <c r="B10" s="15" t="n">
        <v>13</v>
      </c>
      <c r="C10" s="15" t="n">
        <v>2</v>
      </c>
      <c r="D10" s="15" t="n">
        <v>15.4</v>
      </c>
      <c r="E10" s="27" t="inlineStr">
        <is>
          <t>Yes</t>
        </is>
      </c>
      <c r="F10" s="15" t="inlineStr">
        <is>
          <t>23703, 28120</t>
        </is>
      </c>
      <c r="G10" s="15" t="inlineStr">
        <is>
          <t>Achieved if open&lt;=2 or spill%&lt;=20</t>
        </is>
      </c>
    </row>
  </sheetData>
  <mergeCells count="2">
    <mergeCell ref="A3:G3"/>
    <mergeCell ref="A4:G4"/>
  </mergeCells>
  <hyperlinks>
    <hyperlink ref="A1" location="Utkarsh_OKR_Checklist!A1" display="Utkarsh_OKR_Checklist!A1"/>
    <hyperlink ref="B1" location="Utkarsh_OKR_Checklist!A1" display="Utkarsh_OKR_Checklist!A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3" sqref="A3:G4"/>
    </sheetView>
  </sheetViews>
  <sheetFormatPr baseColWidth="8" defaultRowHeight="15"/>
  <cols>
    <col width="14" bestFit="1" customWidth="1" min="1" max="1"/>
    <col width="18" customWidth="1" min="2" max="2"/>
    <col width="17" customWidth="1" min="3" max="3"/>
    <col width="14" customWidth="1" min="4" max="5"/>
    <col width="24" customWidth="1" min="6" max="6"/>
    <col width="14" bestFit="1" customWidth="1" min="7" max="7"/>
  </cols>
  <sheetData>
    <row r="1" ht="30" customHeight="1">
      <c r="A1" s="19" t="inlineStr">
        <is>
          <t>Utkarsh_OKR_Checklist!A1</t>
        </is>
      </c>
      <c r="B1" s="19" t="inlineStr">
        <is>
          <t>Utkarsh_OKR_Checklist!A1</t>
        </is>
      </c>
    </row>
    <row r="3">
      <c r="A3" s="60" t="inlineStr">
        <is>
          <t>FirstCut_Quality (Helpdesk Code/SP Change quality proxy)</t>
        </is>
      </c>
      <c r="B3" s="61" t="n"/>
      <c r="C3" s="61" t="n"/>
      <c r="D3" s="61" t="n"/>
      <c r="E3" s="61" t="n"/>
      <c r="F3" s="61" t="n"/>
      <c r="G3" s="62" t="n"/>
    </row>
    <row r="4">
      <c r="A4" s="63" t="inlineStr">
        <is>
          <t>No Jira first-cut QA export. Proxy = Code/SP Change tickets closed with line counts (reviewable change).</t>
        </is>
      </c>
      <c r="B4" s="61" t="n"/>
      <c r="C4" s="61" t="n"/>
      <c r="D4" s="61" t="n"/>
      <c r="E4" s="61" t="n"/>
      <c r="F4" s="61" t="n"/>
      <c r="G4" s="62" t="n"/>
    </row>
    <row r="6" ht="21.95" customHeight="1">
      <c r="A6" s="14" t="inlineStr">
        <is>
          <t>Quarter</t>
        </is>
      </c>
      <c r="B6" s="14" t="inlineStr">
        <is>
          <t>Code/SP Tickets</t>
        </is>
      </c>
      <c r="C6" s="14" t="inlineStr">
        <is>
          <t>Closed Code/SP</t>
        </is>
      </c>
      <c r="D6" s="14" t="inlineStr">
        <is>
          <t>Code Lines</t>
        </is>
      </c>
      <c r="E6" s="14" t="inlineStr">
        <is>
          <t>SQL Lines</t>
        </is>
      </c>
      <c r="F6" s="14" t="inlineStr">
        <is>
          <t>Achieved/Not Achieved</t>
        </is>
      </c>
      <c r="G6" s="14" t="inlineStr">
        <is>
          <t>Comments</t>
        </is>
      </c>
    </row>
    <row r="7" ht="72" customHeight="1">
      <c r="A7" s="15" t="inlineStr">
        <is>
          <t>Q1-2026</t>
        </is>
      </c>
      <c r="B7" s="15" t="n">
        <v>8</v>
      </c>
      <c r="C7" s="15" t="n">
        <v>7</v>
      </c>
      <c r="D7" s="15" t="n">
        <v>448</v>
      </c>
      <c r="E7" s="15" t="n">
        <v>115</v>
      </c>
      <c r="F7" s="27" t="inlineStr">
        <is>
          <t>Yes</t>
        </is>
      </c>
      <c r="G7" s="15" t="inlineStr">
        <is>
          <t>Quality Achieved — proxy; attach Azure PR screenshots if available</t>
        </is>
      </c>
    </row>
    <row r="8" ht="72" customHeight="1">
      <c r="A8" s="15" t="inlineStr">
        <is>
          <t>Q2-2026</t>
        </is>
      </c>
      <c r="B8" s="15" t="n">
        <v>17</v>
      </c>
      <c r="C8" s="15" t="n">
        <v>16</v>
      </c>
      <c r="D8" s="15" t="n">
        <v>651</v>
      </c>
      <c r="E8" s="15" t="n">
        <v>396</v>
      </c>
      <c r="F8" s="27" t="inlineStr">
        <is>
          <t>Yes</t>
        </is>
      </c>
      <c r="G8" s="15" t="inlineStr">
        <is>
          <t>Quality Achieved — proxy; attach Azure PR screenshots if available</t>
        </is>
      </c>
    </row>
    <row r="9" ht="72" customHeight="1">
      <c r="A9" s="15" t="inlineStr">
        <is>
          <t>Q3-2025</t>
        </is>
      </c>
      <c r="B9" s="15" t="n">
        <v>13</v>
      </c>
      <c r="C9" s="15" t="n">
        <v>11</v>
      </c>
      <c r="D9" s="15" t="n">
        <v>430</v>
      </c>
      <c r="E9" s="15" t="n">
        <v>221</v>
      </c>
      <c r="F9" s="27" t="inlineStr">
        <is>
          <t>Yes</t>
        </is>
      </c>
      <c r="G9" s="15" t="inlineStr">
        <is>
          <t>Quality Achieved — proxy; attach Azure PR screenshots if available</t>
        </is>
      </c>
    </row>
    <row r="10" ht="72" customHeight="1">
      <c r="A10" s="15" t="inlineStr">
        <is>
          <t>Q4-2025</t>
        </is>
      </c>
      <c r="B10" s="15" t="n">
        <v>13</v>
      </c>
      <c r="C10" s="15" t="n">
        <v>11</v>
      </c>
      <c r="D10" s="15" t="n">
        <v>789</v>
      </c>
      <c r="E10" s="15" t="n">
        <v>150</v>
      </c>
      <c r="F10" s="27" t="inlineStr">
        <is>
          <t>Yes</t>
        </is>
      </c>
      <c r="G10" s="15" t="inlineStr">
        <is>
          <t>Quality Achieved — proxy; attach Azure PR screenshots if available</t>
        </is>
      </c>
    </row>
  </sheetData>
  <mergeCells count="2">
    <mergeCell ref="A3:G3"/>
    <mergeCell ref="A4:G4"/>
  </mergeCells>
  <hyperlinks>
    <hyperlink ref="A1" location="Utkarsh_OKR_Checklist!A1" display="Utkarsh_OKR_Checklist!A1"/>
    <hyperlink ref="B1" location="Utkarsh_OKR_Checklist!A1" display="Utkarsh_OKR_Checklist!A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B1" sqref="B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14" customWidth="1" min="4" max="5"/>
    <col width="24" customWidth="1" min="6" max="6"/>
    <col width="14" customWidth="1" min="7" max="7"/>
    <col width="17" customWidth="1" min="8" max="8"/>
    <col width="24" customWidth="1" min="9" max="9"/>
  </cols>
  <sheetData>
    <row r="1" ht="30" customHeight="1">
      <c r="A1" s="19" t="inlineStr">
        <is>
          <t>Utkarsh_OKR_Checklist!A1</t>
        </is>
      </c>
      <c r="B1" s="19" t="inlineStr">
        <is>
          <t>Utkarsh_OKR_Checklist!A1</t>
        </is>
      </c>
    </row>
    <row r="3" ht="72" customHeight="1">
      <c r="A3" s="60" t="inlineStr">
        <is>
          <t>CodeChange_Summary — code/SP changes and PR rejection</t>
        </is>
      </c>
    </row>
    <row r="4" ht="72" customHeight="1">
      <c r="A4" s="74" t="inlineStr">
        <is>
          <t>PR rejection count = 0 and PR rejection % = 0 for Q3-2025, Q4-2025, Q1-2026, and Q2-2026. Threshold is &lt;10%. Achieved = Yes.</t>
        </is>
      </c>
      <c r="B4" s="61" t="n"/>
      <c r="C4" s="61" t="n"/>
      <c r="D4" s="61" t="n"/>
      <c r="E4" s="61" t="n"/>
      <c r="F4" s="61" t="n"/>
      <c r="G4" s="62" t="n"/>
    </row>
    <row r="6" ht="21.95" customFormat="1" customHeight="1" s="6">
      <c r="A6" s="14" t="inlineStr">
        <is>
          <t>Quarter</t>
        </is>
      </c>
      <c r="B6" s="14" t="inlineStr">
        <is>
          <t>Code Change Tickets</t>
        </is>
      </c>
      <c r="C6" s="14" t="inlineStr">
        <is>
          <t>SP Change Tickets</t>
        </is>
      </c>
      <c r="D6" s="14" t="inlineStr">
        <is>
          <t>Code Lines</t>
        </is>
      </c>
      <c r="E6" s="14" t="inlineStr">
        <is>
          <t>SQL Lines</t>
        </is>
      </c>
      <c r="F6" s="14" t="inlineStr">
        <is>
          <t>Achieved/Not Achieved</t>
        </is>
      </c>
      <c r="G6" s="14" t="inlineStr">
        <is>
          <t>Comments</t>
        </is>
      </c>
      <c r="H6" s="14" t="inlineStr">
        <is>
          <t>PR Rejection %</t>
        </is>
      </c>
      <c r="I6" s="14" t="inlineStr">
        <is>
          <t>PR Rejection Achieved</t>
        </is>
      </c>
    </row>
    <row r="7" ht="72" customHeight="1">
      <c r="A7" s="15" t="inlineStr">
        <is>
          <t>Q1-2026</t>
        </is>
      </c>
      <c r="B7" s="15" t="n">
        <v>5</v>
      </c>
      <c r="C7" s="15" t="n">
        <v>4</v>
      </c>
      <c r="D7" s="15" t="n">
        <v>448</v>
      </c>
      <c r="E7" s="15" t="n">
        <v>115</v>
      </c>
      <c r="F7" s="21" t="inlineStr">
        <is>
          <t>Yes</t>
        </is>
      </c>
      <c r="G7" s="15" t="inlineStr">
        <is>
          <t>PR rejection = 0 (0%). Threshold &lt;10%. Achieved.</t>
        </is>
      </c>
      <c r="H7" s="39" t="n">
        <v>0</v>
      </c>
      <c r="I7" s="29" t="inlineStr">
        <is>
          <t>Yes</t>
        </is>
      </c>
    </row>
    <row r="8" ht="72" customHeight="1">
      <c r="A8" s="15" t="inlineStr">
        <is>
          <t>Q2-2026</t>
        </is>
      </c>
      <c r="B8" s="15" t="n">
        <v>8</v>
      </c>
      <c r="C8" s="15" t="n">
        <v>13</v>
      </c>
      <c r="D8" s="15" t="n">
        <v>651</v>
      </c>
      <c r="E8" s="15" t="n">
        <v>396</v>
      </c>
      <c r="F8" s="21" t="inlineStr">
        <is>
          <t>Yes</t>
        </is>
      </c>
      <c r="G8" s="15" t="inlineStr">
        <is>
          <t>PR rejection = 0 (0%). Threshold &lt;10%. Achieved.</t>
        </is>
      </c>
      <c r="H8" s="39" t="n">
        <v>0</v>
      </c>
      <c r="I8" s="29" t="inlineStr">
        <is>
          <t>Yes</t>
        </is>
      </c>
    </row>
    <row r="9" ht="72" customHeight="1">
      <c r="A9" s="15" t="inlineStr">
        <is>
          <t>Q3-2025</t>
        </is>
      </c>
      <c r="B9" s="15" t="n">
        <v>7</v>
      </c>
      <c r="C9" s="15" t="n">
        <v>8</v>
      </c>
      <c r="D9" s="15" t="n">
        <v>430</v>
      </c>
      <c r="E9" s="15" t="n">
        <v>221</v>
      </c>
      <c r="F9" s="21" t="inlineStr">
        <is>
          <t>Yes</t>
        </is>
      </c>
      <c r="G9" s="15" t="inlineStr">
        <is>
          <t>PR rejection = 0 (0%). Threshold &lt;10%. Achieved.</t>
        </is>
      </c>
      <c r="H9" s="39" t="n">
        <v>0</v>
      </c>
      <c r="I9" s="29" t="inlineStr">
        <is>
          <t>Yes</t>
        </is>
      </c>
    </row>
    <row r="10" ht="72" customHeight="1">
      <c r="A10" s="15" t="inlineStr">
        <is>
          <t>Q4-2025</t>
        </is>
      </c>
      <c r="B10" s="15" t="n">
        <v>11</v>
      </c>
      <c r="C10" s="15" t="n">
        <v>5</v>
      </c>
      <c r="D10" s="15" t="n">
        <v>789</v>
      </c>
      <c r="E10" s="15" t="n">
        <v>150</v>
      </c>
      <c r="F10" s="21" t="inlineStr">
        <is>
          <t>Yes</t>
        </is>
      </c>
      <c r="G10" s="15" t="inlineStr">
        <is>
          <t>PR rejection = 0 (0%). Threshold &lt;10%. Achieved.</t>
        </is>
      </c>
      <c r="H10" s="39" t="n">
        <v>0</v>
      </c>
      <c r="I10" s="29" t="inlineStr">
        <is>
          <t>Yes</t>
        </is>
      </c>
    </row>
  </sheetData>
  <mergeCells count="1">
    <mergeCell ref="A4:G4"/>
  </mergeCells>
  <hyperlinks>
    <hyperlink ref="A1" location="Utkarsh_OKR_Checklist!A1" display="Utkarsh_OKR_Checklist!A1"/>
    <hyperlink ref="B1" location="Utkarsh_OKR_Checklist!A1" display="Utkarsh_OKR_Checklist!A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cols>
    <col width="14" customWidth="1" min="1" max="9"/>
    <col width="15" customWidth="1" min="10" max="10"/>
    <col width="24" customWidth="1" min="11" max="11"/>
  </cols>
  <sheetData>
    <row r="1" ht="30" customHeight="1">
      <c r="A1" s="19" t="inlineStr">
        <is>
          <t>Utkarsh_OKR_Checklist!A1</t>
        </is>
      </c>
      <c r="B1" s="19" t="inlineStr">
        <is>
          <t>Utkarsh_OKR_Checklist!A1</t>
        </is>
      </c>
    </row>
    <row r="3" ht="72" customHeight="1">
      <c r="A3" s="60" t="inlineStr">
        <is>
          <t>CodeChange_Tickets (row-level Code/SP Change list; paste Azure PR URL when available)</t>
        </is>
      </c>
    </row>
    <row r="4" ht="72" customHeight="1">
      <c r="A4" s="63" t="inlineStr">
        <is>
          <t>Paste Azure DevOps PR URL in column Azure_PR_URL when available (manual — no API).</t>
        </is>
      </c>
    </row>
    <row r="6" ht="21.95" customHeight="1">
      <c r="A6" s="14" t="inlineStr">
        <is>
          <t>Ticket No.</t>
        </is>
      </c>
      <c r="B6" s="14" t="inlineStr">
        <is>
          <t>Description</t>
        </is>
      </c>
      <c r="C6" s="14" t="inlineStr">
        <is>
          <t>Status</t>
        </is>
      </c>
      <c r="D6" s="14" t="inlineStr">
        <is>
          <t>Quarter</t>
        </is>
      </c>
      <c r="E6" s="14" t="inlineStr">
        <is>
          <t>Code Change</t>
        </is>
      </c>
      <c r="F6" s="14" t="inlineStr">
        <is>
          <t>SP Change</t>
        </is>
      </c>
      <c r="G6" s="14" t="inlineStr">
        <is>
          <t>Code Lines</t>
        </is>
      </c>
      <c r="H6" s="14" t="inlineStr">
        <is>
          <t>SQL Lines</t>
        </is>
      </c>
      <c r="I6" s="40" t="inlineStr">
        <is>
          <t>Assign Date</t>
        </is>
      </c>
      <c r="J6" s="40" t="inlineStr">
        <is>
          <t>Closure Date</t>
        </is>
      </c>
      <c r="K6" s="14" t="inlineStr">
        <is>
          <t>Azure_PR_URL (manual)</t>
        </is>
      </c>
    </row>
    <row r="7" ht="30" customHeight="1">
      <c r="A7" s="15" t="n">
        <v>18851</v>
      </c>
      <c r="B7" s="15" t="inlineStr">
        <is>
          <t>Supplier Reports</t>
        </is>
      </c>
      <c r="C7" s="15" t="inlineStr">
        <is>
          <t>Closed</t>
        </is>
      </c>
      <c r="D7" s="15" t="inlineStr">
        <is>
          <t>Q1-2026</t>
        </is>
      </c>
      <c r="E7" s="15" t="inlineStr">
        <is>
          <t>yes</t>
        </is>
      </c>
      <c r="F7" s="2" t="n"/>
      <c r="G7" s="15" t="n">
        <v>92</v>
      </c>
      <c r="H7" s="2" t="n"/>
      <c r="I7" s="41" t="n">
        <v>46064</v>
      </c>
      <c r="J7" s="41" t="n">
        <v>46099</v>
      </c>
      <c r="K7" s="2" t="n"/>
    </row>
    <row r="8" ht="72" customHeight="1">
      <c r="A8" s="15" t="n">
        <v>21546</v>
      </c>
      <c r="B8" s="15" t="inlineStr">
        <is>
          <t>Reporting - PRAC Parts Master - New Parts Loaded</t>
        </is>
      </c>
      <c r="C8" s="15" t="inlineStr">
        <is>
          <t>InProgress</t>
        </is>
      </c>
      <c r="D8" s="15" t="inlineStr">
        <is>
          <t>Q1-2026</t>
        </is>
      </c>
      <c r="E8" s="2" t="n"/>
      <c r="F8" s="15" t="inlineStr">
        <is>
          <t>yes</t>
        </is>
      </c>
      <c r="G8" s="2" t="n"/>
      <c r="H8" s="15" t="n">
        <v>32</v>
      </c>
      <c r="I8" s="41" t="n">
        <v>46070</v>
      </c>
      <c r="J8" s="2" t="n"/>
      <c r="K8" s="2" t="n"/>
    </row>
    <row r="9" ht="60" customHeight="1">
      <c r="A9" s="15" t="n">
        <v>24196</v>
      </c>
      <c r="B9" s="15" t="inlineStr">
        <is>
          <t>EPC - Replaced by part shows up blank</t>
        </is>
      </c>
      <c r="C9" s="15" t="inlineStr">
        <is>
          <t>Closed</t>
        </is>
      </c>
      <c r="D9" s="15" t="inlineStr">
        <is>
          <t>Q1-2026</t>
        </is>
      </c>
      <c r="E9" s="15" t="inlineStr">
        <is>
          <t>yes</t>
        </is>
      </c>
      <c r="F9" s="2" t="n"/>
      <c r="G9" s="15" t="n">
        <v>95</v>
      </c>
      <c r="H9" s="2" t="n"/>
      <c r="I9" s="41" t="n">
        <v>46032</v>
      </c>
      <c r="J9" s="41" t="n">
        <v>46072</v>
      </c>
      <c r="K9" s="2" t="n"/>
    </row>
    <row r="10" ht="45" customHeight="1">
      <c r="A10" s="15" t="n">
        <v>26757</v>
      </c>
      <c r="B10" s="15" t="inlineStr">
        <is>
          <t>Incorrect quantity on Part List Page</t>
        </is>
      </c>
      <c r="C10" s="15" t="inlineStr">
        <is>
          <t>RESOLVED</t>
        </is>
      </c>
      <c r="D10" s="15" t="inlineStr">
        <is>
          <t>Q1-2026</t>
        </is>
      </c>
      <c r="E10" s="2" t="n"/>
      <c r="F10" s="15" t="inlineStr">
        <is>
          <t>yes</t>
        </is>
      </c>
      <c r="G10" s="2" t="n"/>
      <c r="H10" s="15" t="n">
        <v>26</v>
      </c>
      <c r="I10" s="41" t="n">
        <v>46056</v>
      </c>
      <c r="J10" s="41" t="n">
        <v>46110</v>
      </c>
      <c r="K10" s="2" t="n"/>
    </row>
    <row r="11" ht="60" customHeight="1">
      <c r="A11" s="15" t="n">
        <v>27879</v>
      </c>
      <c r="B11" s="15" t="inlineStr">
        <is>
          <t>BOMs to Service missing parent EPL</t>
        </is>
      </c>
      <c r="C11" s="15" t="inlineStr">
        <is>
          <t>Closed</t>
        </is>
      </c>
      <c r="D11" s="15" t="inlineStr">
        <is>
          <t>Q1-2026</t>
        </is>
      </c>
      <c r="E11" s="2" t="n"/>
      <c r="F11" s="15" t="inlineStr">
        <is>
          <t>yes</t>
        </is>
      </c>
      <c r="G11" s="2" t="n"/>
      <c r="H11" s="15" t="n">
        <v>18</v>
      </c>
      <c r="I11" s="41" t="n">
        <v>46019</v>
      </c>
      <c r="J11" s="41" t="n">
        <v>46031</v>
      </c>
      <c r="K11" s="2" t="n"/>
    </row>
    <row r="12" ht="45" customHeight="1">
      <c r="A12" s="15" t="n">
        <v>28823</v>
      </c>
      <c r="B12" s="15" t="inlineStr">
        <is>
          <t>MDM - BOMs to Service quantity issue</t>
        </is>
      </c>
      <c r="C12" s="15" t="inlineStr">
        <is>
          <t>Closed</t>
        </is>
      </c>
      <c r="D12" s="15" t="inlineStr">
        <is>
          <t>Q1-2026</t>
        </is>
      </c>
      <c r="E12" s="15" t="inlineStr">
        <is>
          <t>yes</t>
        </is>
      </c>
      <c r="F12" s="2" t="n"/>
      <c r="G12" s="15" t="n">
        <v>97</v>
      </c>
      <c r="H12" s="2" t="n"/>
      <c r="I12" s="41" t="n">
        <v>46041</v>
      </c>
      <c r="J12" s="41" t="n">
        <v>46075</v>
      </c>
      <c r="K12" s="2" t="n"/>
    </row>
    <row r="13" ht="72" customHeight="1">
      <c r="A13" s="15" t="n">
        <v>32104</v>
      </c>
      <c r="B13" s="15" t="inlineStr">
        <is>
          <t>EPC - Replaced by part showing when it shouldn't</t>
        </is>
      </c>
      <c r="C13" s="15" t="inlineStr">
        <is>
          <t>Closed</t>
        </is>
      </c>
      <c r="D13" s="15" t="inlineStr">
        <is>
          <t>Q1-2026</t>
        </is>
      </c>
      <c r="E13" s="15" t="inlineStr">
        <is>
          <t>yes</t>
        </is>
      </c>
      <c r="F13" s="2" t="n"/>
      <c r="G13" s="15" t="n">
        <v>79</v>
      </c>
      <c r="H13" s="2" t="n"/>
      <c r="I13" s="41" t="n">
        <v>46049</v>
      </c>
      <c r="J13" s="41" t="n">
        <v>46077</v>
      </c>
      <c r="K13" s="2" t="n"/>
    </row>
    <row r="14" ht="30" customHeight="1">
      <c r="A14" s="15" t="n">
        <v>33371</v>
      </c>
      <c r="B14" s="15" t="inlineStr">
        <is>
          <t>EPC-Enhancement</t>
        </is>
      </c>
      <c r="C14" s="15" t="inlineStr">
        <is>
          <t>Closed</t>
        </is>
      </c>
      <c r="D14" s="15" t="inlineStr">
        <is>
          <t>Q1-2026</t>
        </is>
      </c>
      <c r="E14" s="15" t="inlineStr">
        <is>
          <t>yes</t>
        </is>
      </c>
      <c r="F14" s="15" t="inlineStr">
        <is>
          <t>yes</t>
        </is>
      </c>
      <c r="G14" s="15" t="n">
        <v>85</v>
      </c>
      <c r="H14" s="15" t="n">
        <v>39</v>
      </c>
      <c r="I14" s="41" t="n">
        <v>46010</v>
      </c>
      <c r="J14" s="41" t="n">
        <v>46039</v>
      </c>
      <c r="K14" s="2" t="n"/>
    </row>
    <row r="15" ht="60" customHeight="1">
      <c r="A15" s="15" t="n">
        <v>16146</v>
      </c>
      <c r="B15" s="15" t="inlineStr">
        <is>
          <t>MDM - BOMs to service structure issue</t>
        </is>
      </c>
      <c r="C15" s="15" t="inlineStr">
        <is>
          <t>OnHold</t>
        </is>
      </c>
      <c r="D15" s="15" t="inlineStr">
        <is>
          <t>Q2-2026</t>
        </is>
      </c>
      <c r="E15" s="2" t="n"/>
      <c r="F15" s="15" t="inlineStr">
        <is>
          <t>yes</t>
        </is>
      </c>
      <c r="G15" s="2" t="n"/>
      <c r="H15" s="15" t="n">
        <v>33</v>
      </c>
      <c r="I15" s="41" t="n">
        <v>46087</v>
      </c>
      <c r="J15" s="2" t="n"/>
      <c r="K15" s="2" t="n"/>
    </row>
    <row r="16" ht="30" customHeight="1">
      <c r="A16" s="15" t="n">
        <v>16609</v>
      </c>
      <c r="B16" s="15" t="inlineStr">
        <is>
          <t>Multiple Parts AE025500E006</t>
        </is>
      </c>
      <c r="C16" s="15" t="inlineStr">
        <is>
          <t>Closed</t>
        </is>
      </c>
      <c r="D16" s="15" t="inlineStr">
        <is>
          <t>Q2-2026</t>
        </is>
      </c>
      <c r="E16" s="2" t="n"/>
      <c r="F16" s="15" t="inlineStr">
        <is>
          <t>yes</t>
        </is>
      </c>
      <c r="G16" s="2" t="n"/>
      <c r="H16" s="15" t="n">
        <v>26</v>
      </c>
      <c r="I16" s="41" t="n">
        <v>46161</v>
      </c>
      <c r="J16" s="41" t="n">
        <v>46187</v>
      </c>
      <c r="K16" s="2" t="n"/>
    </row>
    <row r="17" ht="45" customHeight="1">
      <c r="A17" s="15" t="n">
        <v>19454</v>
      </c>
      <c r="B17" s="15" t="inlineStr">
        <is>
          <t>A3701022B002 BOM EPC ISSUE</t>
        </is>
      </c>
      <c r="C17" s="15" t="inlineStr">
        <is>
          <t>Closed</t>
        </is>
      </c>
      <c r="D17" s="15" t="inlineStr">
        <is>
          <t>Q2-2026</t>
        </is>
      </c>
      <c r="E17" s="2" t="n"/>
      <c r="F17" s="15" t="inlineStr">
        <is>
          <t>yes</t>
        </is>
      </c>
      <c r="G17" s="2" t="n"/>
      <c r="H17" s="15" t="n">
        <v>16</v>
      </c>
      <c r="I17" s="41" t="n">
        <v>46160</v>
      </c>
      <c r="J17" s="41" t="n">
        <v>46179</v>
      </c>
      <c r="K17" s="2" t="n"/>
    </row>
    <row r="18" ht="30" customHeight="1">
      <c r="A18" s="15" t="n">
        <v>23410</v>
      </c>
      <c r="B18" s="15" t="inlineStr">
        <is>
          <t>MDM - BOMs to service show duplicates</t>
        </is>
      </c>
      <c r="C18" s="15" t="inlineStr">
        <is>
          <t>RESOLVED</t>
        </is>
      </c>
      <c r="D18" s="15" t="inlineStr">
        <is>
          <t>Q2-2026</t>
        </is>
      </c>
      <c r="E18" s="2" t="n"/>
      <c r="F18" s="15" t="inlineStr">
        <is>
          <t>yes</t>
        </is>
      </c>
      <c r="G18" s="2" t="n"/>
      <c r="H18" s="15" t="n">
        <v>20</v>
      </c>
      <c r="I18" s="41" t="n">
        <v>46089</v>
      </c>
      <c r="J18" s="41" t="n">
        <v>46117</v>
      </c>
      <c r="K18" s="2" t="n"/>
    </row>
    <row r="19" ht="45" customHeight="1">
      <c r="A19" s="15" t="n">
        <v>26664</v>
      </c>
      <c r="B19" s="15" t="inlineStr">
        <is>
          <t>3 More Boms with Duplicate Parts</t>
        </is>
      </c>
      <c r="C19" s="15" t="inlineStr">
        <is>
          <t>RESOLVED</t>
        </is>
      </c>
      <c r="D19" s="15" t="inlineStr">
        <is>
          <t>Q2-2026</t>
        </is>
      </c>
      <c r="E19" s="2" t="n"/>
      <c r="F19" s="15" t="inlineStr">
        <is>
          <t>yes</t>
        </is>
      </c>
      <c r="G19" s="2" t="n"/>
      <c r="H19" s="15" t="n">
        <v>36</v>
      </c>
      <c r="I19" s="41" t="n">
        <v>46123</v>
      </c>
      <c r="J19" s="41" t="n">
        <v>46163</v>
      </c>
      <c r="K19" s="2" t="n"/>
    </row>
    <row r="20" ht="30" customHeight="1">
      <c r="A20" s="15" t="n">
        <v>27702</v>
      </c>
      <c r="B20" s="15" t="inlineStr">
        <is>
          <t>EPC Parts List incomplete</t>
        </is>
      </c>
      <c r="C20" s="15" t="inlineStr">
        <is>
          <t>Closed</t>
        </is>
      </c>
      <c r="D20" s="15" t="inlineStr">
        <is>
          <t>Q2-2026</t>
        </is>
      </c>
      <c r="E20" s="2" t="n"/>
      <c r="F20" s="15" t="inlineStr">
        <is>
          <t>yes</t>
        </is>
      </c>
      <c r="G20" s="2" t="n"/>
      <c r="H20" s="15" t="n">
        <v>39</v>
      </c>
      <c r="I20" s="41" t="n">
        <v>46089</v>
      </c>
      <c r="J20" s="41" t="n">
        <v>46122</v>
      </c>
      <c r="K20" s="2" t="n"/>
    </row>
    <row r="21" ht="30" customHeight="1">
      <c r="A21" s="15" t="n">
        <v>30159</v>
      </c>
      <c r="B21" s="15" t="inlineStr">
        <is>
          <t>A8722500E002 EPC Parts list incomplete</t>
        </is>
      </c>
      <c r="C21" s="15" t="inlineStr">
        <is>
          <t>Closed</t>
        </is>
      </c>
      <c r="D21" s="15" t="inlineStr">
        <is>
          <t>Q2-2026</t>
        </is>
      </c>
      <c r="E21" s="2" t="n"/>
      <c r="F21" s="15" t="inlineStr">
        <is>
          <t>yes</t>
        </is>
      </c>
      <c r="G21" s="2" t="n"/>
      <c r="H21" s="15" t="n">
        <v>37</v>
      </c>
      <c r="I21" s="41" t="n">
        <v>46147</v>
      </c>
      <c r="J21" s="41" t="n">
        <v>46190</v>
      </c>
      <c r="K21" s="2" t="n"/>
    </row>
    <row r="22" ht="45" customHeight="1">
      <c r="A22" s="15" t="n">
        <v>31307</v>
      </c>
      <c r="B22" s="15" t="inlineStr">
        <is>
          <t>Latest rev/seq not showing in EPC</t>
        </is>
      </c>
      <c r="C22" s="15" t="inlineStr">
        <is>
          <t>Closed</t>
        </is>
      </c>
      <c r="D22" s="15" t="inlineStr">
        <is>
          <t>Q2-2026</t>
        </is>
      </c>
      <c r="E22" s="15" t="inlineStr">
        <is>
          <t>yes</t>
        </is>
      </c>
      <c r="F22" s="2" t="n"/>
      <c r="G22" s="15" t="n">
        <v>85</v>
      </c>
      <c r="H22" s="2" t="n"/>
      <c r="I22" s="41" t="n">
        <v>46166</v>
      </c>
      <c r="J22" s="41" t="n">
        <v>46193</v>
      </c>
      <c r="K22" s="2" t="n"/>
    </row>
    <row r="23">
      <c r="A23" s="15" t="n">
        <v>33631</v>
      </c>
      <c r="B23" s="15" t="inlineStr">
        <is>
          <t>Vin. 247741</t>
        </is>
      </c>
      <c r="C23" s="15" t="inlineStr">
        <is>
          <t>Closed</t>
        </is>
      </c>
      <c r="D23" s="15" t="inlineStr">
        <is>
          <t>Q2-2026</t>
        </is>
      </c>
      <c r="E23" s="15" t="inlineStr">
        <is>
          <t>yes</t>
        </is>
      </c>
      <c r="F23" s="2" t="n"/>
      <c r="G23" s="15" t="n">
        <v>70</v>
      </c>
      <c r="H23" s="2" t="n"/>
      <c r="I23" s="41" t="n">
        <v>46140</v>
      </c>
      <c r="J23" s="41" t="n">
        <v>46168</v>
      </c>
      <c r="K23" s="2" t="n"/>
    </row>
    <row r="24" ht="30" customHeight="1">
      <c r="A24" s="15" t="n">
        <v>35294</v>
      </c>
      <c r="B24" s="15" t="inlineStr">
        <is>
          <t>EPC - Wrong model year</t>
        </is>
      </c>
      <c r="C24" s="15" t="inlineStr">
        <is>
          <t>Closed</t>
        </is>
      </c>
      <c r="D24" s="15" t="inlineStr">
        <is>
          <t>Q2-2026</t>
        </is>
      </c>
      <c r="E24" s="15" t="inlineStr">
        <is>
          <t>yes</t>
        </is>
      </c>
      <c r="F24" s="15" t="inlineStr">
        <is>
          <t>yes</t>
        </is>
      </c>
      <c r="G24" s="15" t="n">
        <v>87</v>
      </c>
      <c r="H24" s="15" t="n">
        <v>31</v>
      </c>
      <c r="I24" s="41" t="n">
        <v>46088</v>
      </c>
      <c r="J24" s="41" t="n">
        <v>46124</v>
      </c>
      <c r="K24" s="2" t="n"/>
    </row>
    <row r="25" ht="45" customHeight="1">
      <c r="A25" s="15" t="n">
        <v>3575</v>
      </c>
      <c r="B25" s="15" t="inlineStr">
        <is>
          <t>Supplier Report Card - No Updates</t>
        </is>
      </c>
      <c r="C25" s="15" t="inlineStr">
        <is>
          <t>Closed</t>
        </is>
      </c>
      <c r="D25" s="15" t="inlineStr">
        <is>
          <t>Q2-2026</t>
        </is>
      </c>
      <c r="E25" s="15" t="inlineStr">
        <is>
          <t>yes</t>
        </is>
      </c>
      <c r="F25" s="15" t="inlineStr">
        <is>
          <t>yes</t>
        </is>
      </c>
      <c r="G25" s="15" t="n">
        <v>98</v>
      </c>
      <c r="H25" s="15" t="n">
        <v>45</v>
      </c>
      <c r="I25" s="41" t="n">
        <v>46169</v>
      </c>
      <c r="J25" s="41" t="n">
        <v>46195</v>
      </c>
      <c r="K25" s="2" t="n"/>
    </row>
    <row r="26" ht="72" customHeight="1">
      <c r="A26" s="15" t="n">
        <v>36560</v>
      </c>
      <c r="B26" s="15" t="inlineStr">
        <is>
          <t>Autocar EPC is making unnecessary calls to get part price &amp; inventory</t>
        </is>
      </c>
      <c r="C26" s="15" t="inlineStr">
        <is>
          <t>Closed</t>
        </is>
      </c>
      <c r="D26" s="15" t="inlineStr">
        <is>
          <t>Q2-2026</t>
        </is>
      </c>
      <c r="E26" s="2" t="n"/>
      <c r="F26" s="15" t="inlineStr">
        <is>
          <t>yes</t>
        </is>
      </c>
      <c r="G26" s="2" t="n"/>
      <c r="H26" s="15" t="n">
        <v>24</v>
      </c>
      <c r="I26" s="41" t="n">
        <v>46130</v>
      </c>
      <c r="J26" s="41" t="n">
        <v>46165</v>
      </c>
      <c r="K26" s="2" t="n"/>
    </row>
    <row r="27" ht="45" customHeight="1">
      <c r="A27" s="15" t="n">
        <v>38145</v>
      </c>
      <c r="B27" s="15" t="inlineStr">
        <is>
          <t>A7352001E129 Part Discrepancy</t>
        </is>
      </c>
      <c r="C27" s="15" t="inlineStr">
        <is>
          <t>Closed</t>
        </is>
      </c>
      <c r="D27" s="15" t="inlineStr">
        <is>
          <t>Q2-2026</t>
        </is>
      </c>
      <c r="E27" s="15" t="inlineStr">
        <is>
          <t>yes</t>
        </is>
      </c>
      <c r="F27" s="15" t="inlineStr">
        <is>
          <t>yes</t>
        </is>
      </c>
      <c r="G27" s="15" t="n">
        <v>70</v>
      </c>
      <c r="H27" s="15" t="n">
        <v>45</v>
      </c>
      <c r="I27" s="41" t="n">
        <v>46122</v>
      </c>
      <c r="J27" s="41" t="n">
        <v>46151</v>
      </c>
      <c r="K27" s="2" t="n"/>
    </row>
    <row r="28" ht="62.1" customHeight="1">
      <c r="A28" s="15" t="n">
        <v>38146</v>
      </c>
      <c r="B28" s="15" t="inlineStr">
        <is>
          <t>A87B0001E001 Update EPC website part list</t>
        </is>
      </c>
      <c r="C28" s="15" t="inlineStr">
        <is>
          <t>Closed</t>
        </is>
      </c>
      <c r="D28" s="15" t="inlineStr">
        <is>
          <t>Q2-2026</t>
        </is>
      </c>
      <c r="E28" s="2" t="n"/>
      <c r="F28" s="15" t="inlineStr">
        <is>
          <t>yes</t>
        </is>
      </c>
      <c r="G28" s="2" t="n"/>
      <c r="H28" s="15" t="n">
        <v>25</v>
      </c>
      <c r="I28" s="41" t="n">
        <v>46168</v>
      </c>
      <c r="J28" s="41" t="n">
        <v>46186</v>
      </c>
      <c r="K28" s="2" t="n"/>
    </row>
    <row r="29" ht="30" customHeight="1">
      <c r="A29" s="15" t="n">
        <v>39384</v>
      </c>
      <c r="B29" s="15" t="inlineStr">
        <is>
          <t>Service EPC slow</t>
        </is>
      </c>
      <c r="C29" s="15" t="inlineStr">
        <is>
          <t>Closed</t>
        </is>
      </c>
      <c r="D29" s="15" t="inlineStr">
        <is>
          <t>Q2-2026</t>
        </is>
      </c>
      <c r="E29" s="15" t="inlineStr">
        <is>
          <t>yes</t>
        </is>
      </c>
      <c r="F29" s="2" t="n"/>
      <c r="G29" s="15" t="n">
        <v>99</v>
      </c>
      <c r="H29" s="2" t="n"/>
      <c r="I29" s="41" t="n">
        <v>46138</v>
      </c>
      <c r="J29" s="41" t="n">
        <v>46146</v>
      </c>
      <c r="K29" s="2" t="n"/>
    </row>
    <row r="30" ht="30" customHeight="1">
      <c r="A30" s="15" t="n">
        <v>41202</v>
      </c>
      <c r="B30" s="15" t="inlineStr">
        <is>
          <t>Unable to Check Out EPC-513_5100E001</t>
        </is>
      </c>
      <c r="C30" s="15" t="inlineStr">
        <is>
          <t>Closed</t>
        </is>
      </c>
      <c r="D30" s="15" t="inlineStr">
        <is>
          <t>Q2-2026</t>
        </is>
      </c>
      <c r="E30" s="15" t="inlineStr">
        <is>
          <t>yes</t>
        </is>
      </c>
      <c r="F30" s="2" t="n"/>
      <c r="G30" s="15" t="n">
        <v>95</v>
      </c>
      <c r="H30" s="2" t="n"/>
      <c r="I30" s="41" t="n">
        <v>46156</v>
      </c>
      <c r="J30" s="41" t="n">
        <v>46195</v>
      </c>
      <c r="K30" s="2" t="n"/>
    </row>
    <row r="31" ht="72" customHeight="1">
      <c r="A31" s="15" t="n">
        <v>8822</v>
      </c>
      <c r="B31" s="15" t="inlineStr">
        <is>
          <t>Quality SCAR Credit Memo Request Error / Brian Lowe - Help</t>
        </is>
      </c>
      <c r="C31" s="15" t="inlineStr">
        <is>
          <t>Closed</t>
        </is>
      </c>
      <c r="D31" s="15" t="inlineStr">
        <is>
          <t>Q2-2026</t>
        </is>
      </c>
      <c r="E31" s="15" t="inlineStr">
        <is>
          <t>yes</t>
        </is>
      </c>
      <c r="F31" s="15" t="inlineStr">
        <is>
          <t>yes</t>
        </is>
      </c>
      <c r="G31" s="15" t="n">
        <v>47</v>
      </c>
      <c r="H31" s="15" t="n">
        <v>19</v>
      </c>
      <c r="I31" s="41" t="n">
        <v>46138</v>
      </c>
      <c r="J31" s="41" t="n">
        <v>46162</v>
      </c>
      <c r="K31" s="2" t="n"/>
    </row>
    <row r="32" ht="30" customHeight="1">
      <c r="A32" s="15" t="n">
        <v>15506</v>
      </c>
      <c r="B32" s="15" t="inlineStr">
        <is>
          <t>SCAR finance emails</t>
        </is>
      </c>
      <c r="C32" s="15" t="inlineStr">
        <is>
          <t>Closed</t>
        </is>
      </c>
      <c r="D32" s="15" t="inlineStr">
        <is>
          <t>Q3-2025</t>
        </is>
      </c>
      <c r="E32" s="15" t="inlineStr">
        <is>
          <t>yes</t>
        </is>
      </c>
      <c r="F32" s="2" t="n"/>
      <c r="G32" s="15" t="n">
        <v>80</v>
      </c>
      <c r="H32" s="2" t="n"/>
      <c r="I32" s="41" t="n">
        <v>45861</v>
      </c>
      <c r="J32" s="41" t="n">
        <v>45894</v>
      </c>
      <c r="K32" s="2" t="n"/>
    </row>
    <row r="33" ht="72" customHeight="1">
      <c r="A33" s="15" t="n">
        <v>17996</v>
      </c>
      <c r="B33" s="15" t="inlineStr">
        <is>
          <t>BOMS loaded to VIN 236786 in MDM but not showing up in EPC</t>
        </is>
      </c>
      <c r="C33" s="15" t="inlineStr">
        <is>
          <t>InProgress</t>
        </is>
      </c>
      <c r="D33" s="15" t="inlineStr">
        <is>
          <t>Q3-2025</t>
        </is>
      </c>
      <c r="E33" s="15" t="inlineStr">
        <is>
          <t>yes</t>
        </is>
      </c>
      <c r="F33" s="2" t="n"/>
      <c r="G33" s="15" t="n">
        <v>93</v>
      </c>
      <c r="H33" s="2" t="n"/>
      <c r="I33" s="41" t="n">
        <v>45887</v>
      </c>
      <c r="J33" s="2" t="n"/>
      <c r="K33" s="2" t="n"/>
    </row>
    <row r="34" ht="72" customHeight="1">
      <c r="A34" s="15" t="n">
        <v>19387</v>
      </c>
      <c r="B34" s="15" t="inlineStr">
        <is>
          <t>Child parts are unchecked in BOMs to Service</t>
        </is>
      </c>
      <c r="C34" s="15" t="inlineStr">
        <is>
          <t>Closed</t>
        </is>
      </c>
      <c r="D34" s="15" t="inlineStr">
        <is>
          <t>Q3-2025</t>
        </is>
      </c>
      <c r="E34" s="15" t="inlineStr">
        <is>
          <t>yes</t>
        </is>
      </c>
      <c r="F34" s="2" t="n"/>
      <c r="G34" s="15" t="n">
        <v>98</v>
      </c>
      <c r="H34" s="2" t="n"/>
      <c r="I34" s="41" t="n">
        <v>45858</v>
      </c>
      <c r="J34" s="41" t="n">
        <v>45897</v>
      </c>
      <c r="K34" s="2" t="n"/>
    </row>
    <row r="35" ht="72" customHeight="1">
      <c r="A35" s="15" t="n">
        <v>22609</v>
      </c>
      <c r="B35" s="15" t="inlineStr">
        <is>
          <t>Change location of scar origin in Scar system</t>
        </is>
      </c>
      <c r="C35" s="15" t="inlineStr">
        <is>
          <t>Closed</t>
        </is>
      </c>
      <c r="D35" s="15" t="inlineStr">
        <is>
          <t>Q3-2025</t>
        </is>
      </c>
      <c r="E35" s="15" t="inlineStr">
        <is>
          <t>yes</t>
        </is>
      </c>
      <c r="F35" s="2" t="n"/>
      <c r="G35" s="15" t="n">
        <v>48</v>
      </c>
      <c r="H35" s="2" t="n"/>
      <c r="I35" s="41" t="n">
        <v>45849</v>
      </c>
      <c r="J35" s="41" t="n">
        <v>45892</v>
      </c>
      <c r="K35" s="2" t="n"/>
    </row>
    <row r="36" ht="30" customHeight="1">
      <c r="A36" s="15" t="n">
        <v>23780</v>
      </c>
      <c r="B36" s="15" t="inlineStr">
        <is>
          <t>Quantity added</t>
        </is>
      </c>
      <c r="C36" s="15" t="inlineStr">
        <is>
          <t>Closed</t>
        </is>
      </c>
      <c r="D36" s="15" t="inlineStr">
        <is>
          <t>Q3-2025</t>
        </is>
      </c>
      <c r="E36" s="15" t="inlineStr">
        <is>
          <t>yes</t>
        </is>
      </c>
      <c r="F36" s="2" t="n"/>
      <c r="G36" s="15" t="n">
        <v>41</v>
      </c>
      <c r="H36" s="2" t="n"/>
      <c r="I36" s="41" t="n">
        <v>45864</v>
      </c>
      <c r="J36" s="41" t="n">
        <v>45874</v>
      </c>
      <c r="K36" s="2" t="n"/>
    </row>
    <row r="37" ht="62.1" customHeight="1">
      <c r="A37" s="15" t="n">
        <v>24154</v>
      </c>
      <c r="B37" s="15" t="inlineStr">
        <is>
          <t>A6039998B997 Structure showing extra Part</t>
        </is>
      </c>
      <c r="C37" s="15" t="inlineStr">
        <is>
          <t>Closed</t>
        </is>
      </c>
      <c r="D37" s="15" t="inlineStr">
        <is>
          <t>Q3-2025</t>
        </is>
      </c>
      <c r="E37" s="2" t="n"/>
      <c r="F37" s="15" t="inlineStr">
        <is>
          <t>yes</t>
        </is>
      </c>
      <c r="G37" s="2" t="n"/>
      <c r="H37" s="15" t="n">
        <v>36</v>
      </c>
      <c r="I37" s="41" t="n">
        <v>45886</v>
      </c>
      <c r="J37" s="41" t="n">
        <v>45908</v>
      </c>
      <c r="K37" s="2" t="n"/>
    </row>
    <row r="38">
      <c r="A38" s="15" t="n">
        <v>25881</v>
      </c>
      <c r="B38" s="15" t="inlineStr">
        <is>
          <t>AE700001-002</t>
        </is>
      </c>
      <c r="C38" s="15" t="inlineStr">
        <is>
          <t>RESOLVED</t>
        </is>
      </c>
      <c r="D38" s="15" t="inlineStr">
        <is>
          <t>Q3-2025</t>
        </is>
      </c>
      <c r="E38" s="2" t="n"/>
      <c r="F38" s="15" t="inlineStr">
        <is>
          <t>yes</t>
        </is>
      </c>
      <c r="G38" s="2" t="n"/>
      <c r="H38" s="15" t="n">
        <v>19</v>
      </c>
      <c r="I38" s="41" t="n">
        <v>45823</v>
      </c>
      <c r="J38" s="41" t="n">
        <v>45845</v>
      </c>
      <c r="K38" s="2" t="n"/>
    </row>
    <row r="39" ht="30" customHeight="1">
      <c r="A39" s="15" t="n">
        <v>26181</v>
      </c>
      <c r="B39" s="15" t="inlineStr">
        <is>
          <t>Duplicate Notes</t>
        </is>
      </c>
      <c r="C39" s="15" t="inlineStr">
        <is>
          <t>InProgress</t>
        </is>
      </c>
      <c r="D39" s="15" t="inlineStr">
        <is>
          <t>Q3-2025</t>
        </is>
      </c>
      <c r="E39" s="15" t="inlineStr">
        <is>
          <t>yes</t>
        </is>
      </c>
      <c r="F39" s="15" t="inlineStr">
        <is>
          <t>yes</t>
        </is>
      </c>
      <c r="G39" s="15" t="n">
        <v>31</v>
      </c>
      <c r="H39" s="15" t="n">
        <v>17</v>
      </c>
      <c r="I39" s="41" t="n">
        <v>45811</v>
      </c>
      <c r="J39" s="2" t="n"/>
      <c r="K39" s="2" t="n"/>
    </row>
    <row r="40" ht="45" customHeight="1">
      <c r="A40" s="15" t="n">
        <v>27117</v>
      </c>
      <c r="B40" s="15" t="inlineStr">
        <is>
          <t>Duplicate Part Visible in Part List</t>
        </is>
      </c>
      <c r="C40" s="15" t="inlineStr">
        <is>
          <t>RESOLVED</t>
        </is>
      </c>
      <c r="D40" s="15" t="inlineStr">
        <is>
          <t>Q3-2025</t>
        </is>
      </c>
      <c r="E40" s="15" t="inlineStr">
        <is>
          <t>yes</t>
        </is>
      </c>
      <c r="F40" s="15" t="inlineStr">
        <is>
          <t>yes</t>
        </is>
      </c>
      <c r="G40" s="15" t="n">
        <v>39</v>
      </c>
      <c r="H40" s="15" t="n">
        <v>20</v>
      </c>
      <c r="I40" s="41" t="n">
        <v>45822</v>
      </c>
      <c r="J40" s="41" t="n">
        <v>45862</v>
      </c>
      <c r="K40" s="2" t="n"/>
    </row>
    <row r="41" ht="60" customHeight="1">
      <c r="A41" s="15" t="n">
        <v>27339</v>
      </c>
      <c r="B41" s="15" t="inlineStr">
        <is>
          <t>EPC Part Lists have duplicate parts</t>
        </is>
      </c>
      <c r="C41" s="15" t="inlineStr">
        <is>
          <t>RESOLVED</t>
        </is>
      </c>
      <c r="D41" s="15" t="inlineStr">
        <is>
          <t>Q3-2025</t>
        </is>
      </c>
      <c r="E41" s="2" t="n"/>
      <c r="F41" s="15" t="inlineStr">
        <is>
          <t>yes</t>
        </is>
      </c>
      <c r="G41" s="2" t="n"/>
      <c r="H41" s="15" t="n">
        <v>43</v>
      </c>
      <c r="I41" s="41" t="n">
        <v>45822</v>
      </c>
      <c r="J41" s="41" t="n">
        <v>45863</v>
      </c>
      <c r="K41" s="2" t="n"/>
    </row>
    <row r="42" ht="45" customHeight="1">
      <c r="A42" s="15" t="n">
        <v>27977</v>
      </c>
      <c r="B42" s="15" t="inlineStr">
        <is>
          <t>A6610003B125 Part Discrepancy</t>
        </is>
      </c>
      <c r="C42" s="15" t="inlineStr">
        <is>
          <t>Closed</t>
        </is>
      </c>
      <c r="D42" s="15" t="inlineStr">
        <is>
          <t>Q3-2025</t>
        </is>
      </c>
      <c r="E42" s="2" t="n"/>
      <c r="F42" s="15" t="inlineStr">
        <is>
          <t>yes</t>
        </is>
      </c>
      <c r="G42" s="2" t="n"/>
      <c r="H42" s="15" t="n">
        <v>23</v>
      </c>
      <c r="I42" s="41" t="n">
        <v>45885</v>
      </c>
      <c r="J42" s="41" t="n">
        <v>45914</v>
      </c>
      <c r="K42" s="2" t="n"/>
    </row>
    <row r="43" ht="72" customHeight="1">
      <c r="A43" s="15" t="n">
        <v>27999</v>
      </c>
      <c r="B43" s="15" t="inlineStr">
        <is>
          <t>A3832003E219 Duplicate entries &amp; Discrepancy</t>
        </is>
      </c>
      <c r="C43" s="15" t="inlineStr">
        <is>
          <t>Resolved</t>
        </is>
      </c>
      <c r="D43" s="15" t="inlineStr">
        <is>
          <t>Q3-2025</t>
        </is>
      </c>
      <c r="E43" s="2" t="n"/>
      <c r="F43" s="15" t="inlineStr">
        <is>
          <t>yes</t>
        </is>
      </c>
      <c r="G43" s="2" t="n"/>
      <c r="H43" s="15" t="n">
        <v>35</v>
      </c>
      <c r="I43" s="41" t="n">
        <v>45879</v>
      </c>
      <c r="J43" s="41" t="n">
        <v>45906</v>
      </c>
      <c r="K43" s="2" t="n"/>
    </row>
    <row r="44" ht="72" customHeight="1">
      <c r="A44" s="15" t="n">
        <v>29010</v>
      </c>
      <c r="B44" s="15" t="inlineStr">
        <is>
          <t>A7445000E007 Duplicate entries in EPC Parts List</t>
        </is>
      </c>
      <c r="C44" s="15" t="inlineStr">
        <is>
          <t>Closed</t>
        </is>
      </c>
      <c r="D44" s="15" t="inlineStr">
        <is>
          <t>Q3-2025</t>
        </is>
      </c>
      <c r="E44" s="2" t="n"/>
      <c r="F44" s="15" t="inlineStr">
        <is>
          <t>yes</t>
        </is>
      </c>
      <c r="G44" s="2" t="n"/>
      <c r="H44" s="15" t="n">
        <v>28</v>
      </c>
      <c r="I44" s="41" t="n">
        <v>45888</v>
      </c>
      <c r="J44" s="41" t="n">
        <v>45922</v>
      </c>
      <c r="K44" s="2" t="n"/>
    </row>
    <row r="45" ht="72" customHeight="1">
      <c r="A45" s="15" t="n">
        <v>13789</v>
      </c>
      <c r="B45" s="15" t="inlineStr">
        <is>
          <t>MDM - New "Routine Maintenance Part" check box request</t>
        </is>
      </c>
      <c r="C45" s="15" t="inlineStr">
        <is>
          <t>In-UAT</t>
        </is>
      </c>
      <c r="D45" s="15" t="inlineStr">
        <is>
          <t>Q3-2026</t>
        </is>
      </c>
      <c r="E45" s="15" t="inlineStr">
        <is>
          <t>yes</t>
        </is>
      </c>
      <c r="F45" s="2" t="n"/>
      <c r="G45" s="15" t="n">
        <v>97</v>
      </c>
      <c r="H45" s="2" t="n"/>
      <c r="I45" s="41" t="n">
        <v>46183</v>
      </c>
      <c r="J45" s="2" t="n"/>
      <c r="K45" s="2" t="n"/>
    </row>
    <row r="46" ht="72" customHeight="1">
      <c r="A46" s="15" t="n">
        <v>37814</v>
      </c>
      <c r="B46" s="15" t="inlineStr">
        <is>
          <t>SCAR Report To Finance Shows Each Category $$ Amount and Total</t>
        </is>
      </c>
      <c r="C46" s="15" t="inlineStr">
        <is>
          <t>Closed</t>
        </is>
      </c>
      <c r="D46" s="15" t="inlineStr">
        <is>
          <t>Q3-2026</t>
        </is>
      </c>
      <c r="E46" s="15" t="inlineStr">
        <is>
          <t>yes</t>
        </is>
      </c>
      <c r="F46" s="2" t="n"/>
      <c r="G46" s="15" t="n">
        <v>77</v>
      </c>
      <c r="H46" s="2" t="n"/>
      <c r="I46" s="41" t="n">
        <v>46185</v>
      </c>
      <c r="J46" s="41" t="n">
        <v>46218</v>
      </c>
      <c r="K46" s="2" t="n"/>
    </row>
    <row r="47" ht="72" customHeight="1">
      <c r="A47" s="15" t="n">
        <v>42122</v>
      </c>
      <c r="B47" s="15" t="inlineStr">
        <is>
          <t>MDM - BOMs to Service service check box issue</t>
        </is>
      </c>
      <c r="C47" s="15" t="inlineStr">
        <is>
          <t>InProgress</t>
        </is>
      </c>
      <c r="D47" s="15" t="inlineStr">
        <is>
          <t>Q3-2026</t>
        </is>
      </c>
      <c r="E47" s="15" t="inlineStr">
        <is>
          <t>yes</t>
        </is>
      </c>
      <c r="F47" s="2" t="n"/>
      <c r="G47" s="15" t="n">
        <v>56</v>
      </c>
      <c r="H47" s="2" t="n"/>
      <c r="I47" s="41" t="n">
        <v>46183</v>
      </c>
      <c r="J47" s="2" t="n"/>
      <c r="K47" s="2" t="n"/>
    </row>
    <row r="48" ht="45" customHeight="1">
      <c r="A48" s="15" t="n">
        <v>42241</v>
      </c>
      <c r="B48" s="15" t="inlineStr">
        <is>
          <t>EPC-cannot expand the BOM</t>
        </is>
      </c>
      <c r="C48" s="15" t="inlineStr">
        <is>
          <t>Closed</t>
        </is>
      </c>
      <c r="D48" s="15" t="inlineStr">
        <is>
          <t>Q3-2026</t>
        </is>
      </c>
      <c r="E48" s="15" t="inlineStr">
        <is>
          <t>yes</t>
        </is>
      </c>
      <c r="F48" s="15" t="inlineStr">
        <is>
          <t>yes</t>
        </is>
      </c>
      <c r="G48" s="15" t="n">
        <v>33</v>
      </c>
      <c r="H48" s="15" t="n">
        <v>35</v>
      </c>
      <c r="I48" s="41" t="n">
        <v>46194</v>
      </c>
      <c r="J48" s="41" t="n">
        <v>46232</v>
      </c>
      <c r="K48" s="2" t="n"/>
    </row>
    <row r="49" ht="30" customHeight="1">
      <c r="A49" s="15" t="n">
        <v>16188</v>
      </c>
      <c r="B49" s="15" t="inlineStr">
        <is>
          <t>Adding structure to aftermarket no parts</t>
        </is>
      </c>
      <c r="C49" s="15" t="inlineStr">
        <is>
          <t>Closed</t>
        </is>
      </c>
      <c r="D49" s="15" t="inlineStr">
        <is>
          <t>Q4-2025</t>
        </is>
      </c>
      <c r="E49" s="15" t="inlineStr">
        <is>
          <t>yes</t>
        </is>
      </c>
      <c r="F49" s="15" t="inlineStr">
        <is>
          <t>yes</t>
        </is>
      </c>
      <c r="G49" s="15" t="n">
        <v>51</v>
      </c>
      <c r="H49" s="15" t="n">
        <v>29</v>
      </c>
      <c r="I49" s="41" t="n">
        <v>45915</v>
      </c>
      <c r="J49" s="41" t="n">
        <v>45934</v>
      </c>
      <c r="K49" s="2" t="n"/>
    </row>
    <row r="50" ht="62.1" customHeight="1">
      <c r="A50" s="15" t="n">
        <v>18760</v>
      </c>
      <c r="B50" s="15" t="inlineStr">
        <is>
          <t>MDM - VIN-BOM Exception tool hanging up #2</t>
        </is>
      </c>
      <c r="C50" s="15" t="inlineStr">
        <is>
          <t>Closed</t>
        </is>
      </c>
      <c r="D50" s="15" t="inlineStr">
        <is>
          <t>Q4-2025</t>
        </is>
      </c>
      <c r="E50" s="15" t="inlineStr">
        <is>
          <t>yes</t>
        </is>
      </c>
      <c r="F50" s="2" t="n"/>
      <c r="G50" s="15" t="n">
        <v>57</v>
      </c>
      <c r="H50" s="2" t="n"/>
      <c r="I50" s="41" t="n">
        <v>45953</v>
      </c>
      <c r="J50" s="41" t="n">
        <v>45982</v>
      </c>
      <c r="K50" s="2" t="n"/>
    </row>
    <row r="51" ht="30" customHeight="1">
      <c r="A51" s="15" t="n">
        <v>23703</v>
      </c>
      <c r="B51" s="15" t="inlineStr">
        <is>
          <t>A2842007E023 BOM</t>
        </is>
      </c>
      <c r="C51" s="15" t="inlineStr">
        <is>
          <t>InProgress - Approver</t>
        </is>
      </c>
      <c r="D51" s="15" t="inlineStr">
        <is>
          <t>Q4-2025</t>
        </is>
      </c>
      <c r="E51" s="15" t="inlineStr">
        <is>
          <t>yes</t>
        </is>
      </c>
      <c r="F51" s="2" t="n"/>
      <c r="G51" s="15" t="n">
        <v>96</v>
      </c>
      <c r="H51" s="2" t="n"/>
      <c r="I51" s="41" t="n">
        <v>45966</v>
      </c>
      <c r="J51" s="2" t="n"/>
      <c r="K51" s="2" t="n"/>
    </row>
    <row r="52" ht="45" customHeight="1">
      <c r="A52" s="15" t="n">
        <v>23721</v>
      </c>
      <c r="B52" s="15" t="inlineStr">
        <is>
          <t>MDM - BOMs to Service seq issue</t>
        </is>
      </c>
      <c r="C52" s="15" t="inlineStr">
        <is>
          <t>RESOLVED</t>
        </is>
      </c>
      <c r="D52" s="15" t="inlineStr">
        <is>
          <t>Q4-2025</t>
        </is>
      </c>
      <c r="E52" s="15" t="inlineStr">
        <is>
          <t>yes</t>
        </is>
      </c>
      <c r="F52" s="15" t="inlineStr">
        <is>
          <t>yes</t>
        </is>
      </c>
      <c r="G52" s="15" t="n">
        <v>53</v>
      </c>
      <c r="H52" s="15" t="n">
        <v>37</v>
      </c>
      <c r="I52" s="41" t="n">
        <v>45925</v>
      </c>
      <c r="J52" s="41" t="n">
        <v>45938</v>
      </c>
      <c r="K52" s="2" t="n"/>
    </row>
    <row r="53" ht="45" customHeight="1">
      <c r="A53" s="15" t="n">
        <v>24084</v>
      </c>
      <c r="B53" s="15" t="inlineStr">
        <is>
          <t>MDM - BOMs to service error message</t>
        </is>
      </c>
      <c r="C53" s="15" t="inlineStr">
        <is>
          <t>Closed</t>
        </is>
      </c>
      <c r="D53" s="15" t="inlineStr">
        <is>
          <t>Q4-2025</t>
        </is>
      </c>
      <c r="E53" s="15" t="inlineStr">
        <is>
          <t>yes</t>
        </is>
      </c>
      <c r="F53" s="2" t="n"/>
      <c r="G53" s="15" t="n">
        <v>90</v>
      </c>
      <c r="H53" s="2" t="n"/>
      <c r="I53" s="41" t="n">
        <v>45981</v>
      </c>
      <c r="J53" s="41" t="n">
        <v>46012</v>
      </c>
      <c r="K53" s="2" t="n"/>
    </row>
    <row r="54" ht="72" customHeight="1">
      <c r="A54" s="15" t="n">
        <v>27250</v>
      </c>
      <c r="B54" s="15" t="inlineStr">
        <is>
          <t>When VIN is put in EPC BOM does not shwo breakodwn (without VIN it does show breakdown) SPE0005262</t>
        </is>
      </c>
      <c r="C54" s="15" t="inlineStr">
        <is>
          <t>Closed</t>
        </is>
      </c>
      <c r="D54" s="15" t="inlineStr">
        <is>
          <t>Q4-2025</t>
        </is>
      </c>
      <c r="E54" s="15" t="inlineStr">
        <is>
          <t>yes</t>
        </is>
      </c>
      <c r="F54" s="2" t="n"/>
      <c r="G54" s="15" t="n">
        <v>65</v>
      </c>
      <c r="H54" s="2" t="n"/>
      <c r="I54" s="41" t="n">
        <v>45924</v>
      </c>
      <c r="J54" s="41" t="n">
        <v>45955</v>
      </c>
      <c r="K54" s="2" t="n"/>
    </row>
    <row r="55" ht="45" customHeight="1">
      <c r="A55" s="15" t="n">
        <v>27742</v>
      </c>
      <c r="B55" s="15" t="inlineStr">
        <is>
          <t>Part Lists have duplicate parts</t>
        </is>
      </c>
      <c r="C55" s="15" t="inlineStr">
        <is>
          <t>Closed</t>
        </is>
      </c>
      <c r="D55" s="15" t="inlineStr">
        <is>
          <t>Q4-2025</t>
        </is>
      </c>
      <c r="E55" s="2" t="n"/>
      <c r="F55" s="15" t="inlineStr">
        <is>
          <t>yes</t>
        </is>
      </c>
      <c r="G55" s="2" t="n"/>
      <c r="H55" s="15" t="n">
        <v>26</v>
      </c>
      <c r="I55" s="41" t="n">
        <v>45948</v>
      </c>
      <c r="J55" s="41" t="n">
        <v>45981</v>
      </c>
      <c r="K55" s="2" t="n"/>
    </row>
    <row r="56" ht="30" customHeight="1">
      <c r="A56" s="15" t="n">
        <v>27857</v>
      </c>
      <c r="B56" s="15" t="inlineStr">
        <is>
          <t>EPCs require part lists</t>
        </is>
      </c>
      <c r="C56" s="15" t="inlineStr">
        <is>
          <t>Resolved</t>
        </is>
      </c>
      <c r="D56" s="15" t="inlineStr">
        <is>
          <t>Q4-2025</t>
        </is>
      </c>
      <c r="E56" s="15" t="inlineStr">
        <is>
          <t>yes</t>
        </is>
      </c>
      <c r="F56" s="2" t="n"/>
      <c r="G56" s="15" t="n">
        <v>58</v>
      </c>
      <c r="H56" s="2" t="n"/>
      <c r="I56" s="41" t="n">
        <v>45954</v>
      </c>
      <c r="J56" s="41" t="n">
        <v>45979</v>
      </c>
      <c r="K56" s="2" t="n"/>
    </row>
    <row r="57" ht="72" customHeight="1">
      <c r="A57" s="15" t="n">
        <v>28049</v>
      </c>
      <c r="B57" s="15" t="inlineStr">
        <is>
          <t>MDM - Copy Structure / BOMs to Service Issue</t>
        </is>
      </c>
      <c r="C57" s="15" t="inlineStr">
        <is>
          <t>Closed</t>
        </is>
      </c>
      <c r="D57" s="15" t="inlineStr">
        <is>
          <t>Q4-2025</t>
        </is>
      </c>
      <c r="E57" s="15" t="inlineStr">
        <is>
          <t>yes</t>
        </is>
      </c>
      <c r="F57" s="2" t="n"/>
      <c r="G57" s="15" t="n">
        <v>100</v>
      </c>
      <c r="H57" s="2" t="n"/>
      <c r="I57" s="41" t="n">
        <v>45927</v>
      </c>
      <c r="J57" s="41" t="n">
        <v>45953</v>
      </c>
      <c r="K57" s="2" t="n"/>
    </row>
    <row r="58" ht="45" customHeight="1">
      <c r="A58" s="15" t="n">
        <v>28120</v>
      </c>
      <c r="B58" s="15" t="inlineStr">
        <is>
          <t>EPC - Missing structure from MDM</t>
        </is>
      </c>
      <c r="C58" s="15" t="inlineStr">
        <is>
          <t>InProgress</t>
        </is>
      </c>
      <c r="D58" s="15" t="inlineStr">
        <is>
          <t>Q4-2025</t>
        </is>
      </c>
      <c r="E58" s="2" t="n"/>
      <c r="F58" s="15" t="inlineStr">
        <is>
          <t>yes</t>
        </is>
      </c>
      <c r="G58" s="2" t="n"/>
      <c r="H58" s="15" t="n">
        <v>25</v>
      </c>
      <c r="I58" s="41" t="n">
        <v>45955</v>
      </c>
      <c r="J58" s="2" t="n"/>
      <c r="K58" s="2" t="n"/>
    </row>
    <row r="59" ht="45" customHeight="1">
      <c r="A59" s="15" t="n">
        <v>30165</v>
      </c>
      <c r="B59" s="15" t="inlineStr">
        <is>
          <t>Tech Modernization for EPC</t>
        </is>
      </c>
      <c r="C59" s="15" t="inlineStr">
        <is>
          <t>Closed</t>
        </is>
      </c>
      <c r="D59" s="15" t="inlineStr">
        <is>
          <t>Q4-2025</t>
        </is>
      </c>
      <c r="E59" s="15" t="inlineStr">
        <is>
          <t>yes</t>
        </is>
      </c>
      <c r="F59" s="15" t="inlineStr">
        <is>
          <t>yes</t>
        </is>
      </c>
      <c r="G59" s="15" t="n">
        <v>94</v>
      </c>
      <c r="H59" s="15" t="n">
        <v>33</v>
      </c>
      <c r="I59" s="41" t="n">
        <v>45903</v>
      </c>
      <c r="J59" s="41" t="n">
        <v>45943</v>
      </c>
      <c r="K59" s="2" t="n"/>
    </row>
    <row r="60">
      <c r="A60" s="15" t="n">
        <v>31247</v>
      </c>
      <c r="B60" s="15" t="inlineStr">
        <is>
          <t>VMRS Tab</t>
        </is>
      </c>
      <c r="C60" s="15" t="inlineStr">
        <is>
          <t>Closed</t>
        </is>
      </c>
      <c r="D60" s="15" t="inlineStr">
        <is>
          <t>Q4-2025</t>
        </is>
      </c>
      <c r="E60" s="15" t="inlineStr">
        <is>
          <t>yes</t>
        </is>
      </c>
      <c r="F60" s="2" t="n"/>
      <c r="G60" s="15" t="n">
        <v>63</v>
      </c>
      <c r="H60" s="2" t="n"/>
      <c r="I60" s="41" t="n">
        <v>45948</v>
      </c>
      <c r="J60" s="41" t="n">
        <v>45980</v>
      </c>
      <c r="K60" s="2" t="n"/>
    </row>
    <row r="61" ht="30" customHeight="1">
      <c r="A61" s="15" t="n">
        <v>7612</v>
      </c>
      <c r="B61" s="15" t="inlineStr">
        <is>
          <t>MDM question</t>
        </is>
      </c>
      <c r="C61" s="15" t="inlineStr">
        <is>
          <t>Closed</t>
        </is>
      </c>
      <c r="D61" s="15" t="inlineStr">
        <is>
          <t>Q4-2025</t>
        </is>
      </c>
      <c r="E61" s="15" t="inlineStr">
        <is>
          <t>yes</t>
        </is>
      </c>
      <c r="F61" s="2" t="n"/>
      <c r="G61" s="15" t="n">
        <v>62</v>
      </c>
      <c r="H61" s="2" t="n"/>
      <c r="I61" s="41" t="n">
        <v>45907</v>
      </c>
      <c r="J61" s="41" t="n">
        <v>45951</v>
      </c>
      <c r="K61" s="2" t="n"/>
    </row>
  </sheetData>
  <hyperlinks>
    <hyperlink ref="A1" location="Utkarsh_OKR_Checklist!A1" display="Utkarsh_OKR_Checklist!A1"/>
    <hyperlink ref="B1" location="Utkarsh_OKR_Checklist!A1" display="Utkarsh_OKR_Checklist!A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4"/>
  <sheetViews>
    <sheetView topLeftCell="A70"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25" customWidth="1" min="3" max="3"/>
    <col width="14" customWidth="1" min="4" max="5"/>
    <col width="18" customWidth="1" min="6" max="9"/>
    <col width="38" customWidth="1" min="10" max="10"/>
  </cols>
  <sheetData>
    <row r="1" ht="30" customHeight="1">
      <c r="A1" s="19" t="inlineStr">
        <is>
          <t>Utkarsh_OKR_Checklist!A1</t>
        </is>
      </c>
    </row>
    <row r="3" ht="72" customHeight="1">
      <c r="A3" s="60" t="inlineStr">
        <is>
          <t>Helpdesk_Discipline — Process Adherence (Process Checklist)</t>
        </is>
      </c>
    </row>
    <row r="4" ht="72" customHeight="1">
      <c r="A4" s="63" t="inlineStr">
        <is>
          <t>KPI Process Adherance is measured on these items (&gt;=90% overall). Ticket export cannot prove every control — DM confirms CAB / Timesheet / PR Approval; Helpdesk proxies used where available (dates, Code Change, closure).</t>
        </is>
      </c>
      <c r="B4" s="61" t="n"/>
      <c r="C4" s="61" t="n"/>
      <c r="D4" s="61" t="n"/>
      <c r="E4" s="61" t="n"/>
      <c r="F4" s="61" t="n"/>
      <c r="G4" s="61" t="n"/>
      <c r="H4" s="62" t="n"/>
    </row>
    <row r="6" ht="72" customHeight="1">
      <c r="A6" s="22" t="inlineStr">
        <is>
          <t>1) Process Checklist — items measured for Process Adherance</t>
        </is>
      </c>
    </row>
    <row r="7" ht="21.95" customHeight="1">
      <c r="A7" s="14" t="inlineStr">
        <is>
          <t>Measure #</t>
        </is>
      </c>
      <c r="B7" s="14" t="inlineStr">
        <is>
          <t>What is measured</t>
        </is>
      </c>
      <c r="C7" s="14" t="inlineStr">
        <is>
          <t>Evidence / How checked</t>
        </is>
      </c>
      <c r="D7" s="14" t="inlineStr">
        <is>
          <t>Source</t>
        </is>
      </c>
      <c r="E7" s="14" t="inlineStr">
        <is>
          <t>Target</t>
        </is>
      </c>
    </row>
    <row r="8" ht="72" customHeight="1">
      <c r="A8" s="15" t="n">
        <v>1</v>
      </c>
      <c r="B8" s="15" t="inlineStr">
        <is>
          <t>Meaningful status/progress comments while ticket is In Progress</t>
        </is>
      </c>
      <c r="C8" s="15" t="inlineStr">
        <is>
          <t>Ticket comments cadence (Helpdesk UI / export)</t>
        </is>
      </c>
      <c r="D8" s="15" t="inlineStr">
        <is>
          <t>Helpdesk</t>
        </is>
      </c>
      <c r="E8" s="15" t="inlineStr">
        <is>
          <t>No silent stalls &gt;2 working days</t>
        </is>
      </c>
    </row>
    <row r="9" ht="72" customHeight="1">
      <c r="A9" s="15" t="n">
        <v>2</v>
      </c>
      <c r="B9" s="15" t="inlineStr">
        <is>
          <t>Business / stakeholder updated on progress, blockers, UAT readiness</t>
        </is>
      </c>
      <c r="C9" s="15" t="inlineStr">
        <is>
          <t>Comments / email / status to business</t>
        </is>
      </c>
      <c r="D9" s="15" t="inlineStr">
        <is>
          <t>Helpdesk + email</t>
        </is>
      </c>
      <c r="E9" s="15" t="inlineStr">
        <is>
          <t>Updates on material status changes</t>
        </is>
      </c>
    </row>
    <row r="10" ht="62.1" customHeight="1">
      <c r="A10" s="15" t="n">
        <v>3</v>
      </c>
      <c r="B10" s="15" t="inlineStr">
        <is>
          <t>Resolution / fix notes captured before Closed/Resolved</t>
        </is>
      </c>
      <c r="C10" s="15" t="inlineStr">
        <is>
          <t>Closure Date present + resolution note on ticket</t>
        </is>
      </c>
      <c r="D10" s="15" t="inlineStr">
        <is>
          <t>Helpdesk</t>
        </is>
      </c>
      <c r="E10" s="15" t="inlineStr">
        <is>
          <t>100% of closed tickets</t>
        </is>
      </c>
    </row>
    <row r="11" ht="72" customHeight="1">
      <c r="A11" s="15" t="n">
        <v>4</v>
      </c>
      <c r="B11" s="15" t="inlineStr">
        <is>
          <t>CAB raised/approved when change requires CAB (prod deploy)</t>
        </is>
      </c>
      <c r="C11" s="15" t="inlineStr">
        <is>
          <t>CAB record / change calendar — DM confirm</t>
        </is>
      </c>
      <c r="D11" s="15" t="inlineStr">
        <is>
          <t>CAB / Change Mgmt</t>
        </is>
      </c>
      <c r="E11" s="15" t="inlineStr">
        <is>
          <t>0 CAB misses</t>
        </is>
      </c>
    </row>
    <row r="12" ht="62.1" customHeight="1">
      <c r="A12" s="15" t="n">
        <v>5</v>
      </c>
      <c r="B12" s="15" t="inlineStr">
        <is>
          <t>PR reviewed &amp; approved before merge (Azure DevOps)</t>
        </is>
      </c>
      <c r="C12" s="15" t="inlineStr">
        <is>
          <t>Code Change=yes tickets; paste Azure PR URL on CodeChange_Tickets</t>
        </is>
      </c>
      <c r="D12" s="15" t="inlineStr">
        <is>
          <t>Azure DevOps (manual)</t>
        </is>
      </c>
      <c r="E12" s="15" t="inlineStr">
        <is>
          <t>100% Code Change tickets</t>
        </is>
      </c>
    </row>
    <row r="13" ht="28.9" customHeight="1">
      <c r="A13" s="15" t="n">
        <v>6</v>
      </c>
      <c r="B13" s="15" t="inlineStr">
        <is>
          <t>Weekly timesheet submitted on time</t>
        </is>
      </c>
      <c r="C13" s="15" t="inlineStr">
        <is>
          <t>Timesheet system / HR — DM confirm</t>
        </is>
      </c>
      <c r="D13" s="15" t="inlineStr">
        <is>
          <t>Timesheet</t>
        </is>
      </c>
      <c r="E13" s="15" t="inlineStr">
        <is>
          <t>0 missed weeks</t>
        </is>
      </c>
    </row>
    <row r="15" ht="72" customHeight="1">
      <c r="A15" s="22" t="inlineStr">
        <is>
          <t>2) Quarterly Process Adherence scorecard (DM can override any cell)</t>
        </is>
      </c>
    </row>
    <row r="16">
      <c r="A16" s="36" t="inlineStr">
        <is>
          <t>Process Item</t>
        </is>
      </c>
      <c r="B16" s="36" t="inlineStr">
        <is>
          <t>Q3-2025</t>
        </is>
      </c>
      <c r="C16" s="36" t="inlineStr">
        <is>
          <t>Q4-2025</t>
        </is>
      </c>
      <c r="D16" s="36" t="inlineStr">
        <is>
          <t>Q1-2026</t>
        </is>
      </c>
      <c r="E16" s="36" t="inlineStr">
        <is>
          <t>Q2-2026</t>
        </is>
      </c>
      <c r="F16" s="36" t="inlineStr">
        <is>
          <t>Overall Achieved?</t>
        </is>
      </c>
      <c r="G16" s="36" t="inlineStr">
        <is>
          <t>Comments</t>
        </is>
      </c>
    </row>
    <row r="17" ht="28.9" customHeight="1">
      <c r="A17" s="15" t="inlineStr">
        <is>
          <t>Timely comments on tickets</t>
        </is>
      </c>
      <c r="B17" s="27" t="inlineStr">
        <is>
          <t>Yes</t>
        </is>
      </c>
      <c r="C17" s="27" t="inlineStr">
        <is>
          <t>Yes</t>
        </is>
      </c>
      <c r="D17" s="27" t="inlineStr">
        <is>
          <t>Yes</t>
        </is>
      </c>
      <c r="E17" s="27" t="inlineStr">
        <is>
          <t>Yes</t>
        </is>
      </c>
      <c r="F17" s="27" t="inlineStr">
        <is>
          <t>Yes</t>
        </is>
      </c>
      <c r="G17" s="15" t="inlineStr">
        <is>
          <t>Helpdesk comments — DM spot-check</t>
        </is>
      </c>
      <c r="H17" s="1" t="n"/>
    </row>
    <row r="18" ht="62.1" customHeight="1">
      <c r="A18" s="15" t="inlineStr">
        <is>
          <t>Update business</t>
        </is>
      </c>
      <c r="B18" s="27" t="inlineStr">
        <is>
          <t>Yes</t>
        </is>
      </c>
      <c r="C18" s="27" t="inlineStr">
        <is>
          <t>Yes</t>
        </is>
      </c>
      <c r="D18" s="27" t="inlineStr">
        <is>
          <t>Yes</t>
        </is>
      </c>
      <c r="E18" s="27" t="inlineStr">
        <is>
          <t>Yes</t>
        </is>
      </c>
      <c r="F18" s="27" t="inlineStr">
        <is>
          <t>Yes</t>
        </is>
      </c>
      <c r="G18" s="15" t="inlineStr">
        <is>
          <t>Business updates on status changes — DM confirm</t>
        </is>
      </c>
      <c r="H18" s="1" t="n"/>
    </row>
    <row r="19" ht="28.9" customHeight="1">
      <c r="A19" s="15" t="inlineStr">
        <is>
          <t>Resolution added on closure</t>
        </is>
      </c>
      <c r="B19" s="27" t="inlineStr">
        <is>
          <t>Yes</t>
        </is>
      </c>
      <c r="C19" s="27" t="inlineStr">
        <is>
          <t>Yes</t>
        </is>
      </c>
      <c r="D19" s="27" t="inlineStr">
        <is>
          <t>Yes</t>
        </is>
      </c>
      <c r="E19" s="27" t="inlineStr">
        <is>
          <t>Yes</t>
        </is>
      </c>
      <c r="F19" s="27" t="inlineStr">
        <is>
          <t>Yes</t>
        </is>
      </c>
      <c r="G19" s="15" t="inlineStr">
        <is>
          <t>Closure Date + resolution note proxy</t>
        </is>
      </c>
      <c r="H19" s="1" t="n"/>
    </row>
    <row r="20" ht="28.9" customHeight="1">
      <c r="A20" s="15" t="inlineStr">
        <is>
          <t>No CAB miss</t>
        </is>
      </c>
      <c r="B20" s="27" t="inlineStr">
        <is>
          <t>Yes</t>
        </is>
      </c>
      <c r="C20" s="27" t="inlineStr">
        <is>
          <t>Yes</t>
        </is>
      </c>
      <c r="D20" s="27" t="inlineStr">
        <is>
          <t>Yes</t>
        </is>
      </c>
      <c r="E20" s="27" t="inlineStr">
        <is>
          <t>Yes</t>
        </is>
      </c>
      <c r="F20" s="27" t="inlineStr">
        <is>
          <t>Yes</t>
        </is>
      </c>
      <c r="G20" s="15" t="inlineStr">
        <is>
          <t>0 CAB misses reported — DM confirm</t>
        </is>
      </c>
      <c r="H20" s="1" t="n"/>
    </row>
    <row r="21" ht="72" customHeight="1">
      <c r="A21" s="15" t="inlineStr">
        <is>
          <t>PR Approval taken</t>
        </is>
      </c>
      <c r="B21" s="21" t="inlineStr">
        <is>
          <t>Yes</t>
        </is>
      </c>
      <c r="C21" s="21" t="inlineStr">
        <is>
          <t>Yes</t>
        </is>
      </c>
      <c r="D21" s="21" t="inlineStr">
        <is>
          <t>Yes</t>
        </is>
      </c>
      <c r="E21" s="21" t="inlineStr">
        <is>
          <t>Yes</t>
        </is>
      </c>
      <c r="F21" s="21" t="inlineStr">
        <is>
          <t>Yes</t>
        </is>
      </c>
      <c r="G21" s="15" t="inlineStr">
        <is>
          <t>PR rejection = 0. PR approval treated as met. See CodeChange_Summary.</t>
        </is>
      </c>
      <c r="H21" s="1" t="n"/>
    </row>
    <row r="22" ht="72" customHeight="1">
      <c r="A22" s="15" t="inlineStr">
        <is>
          <t>Weekly Timesheet Submit</t>
        </is>
      </c>
      <c r="B22" s="20" t="inlineStr">
        <is>
          <t>Yes</t>
        </is>
      </c>
      <c r="C22" s="20" t="inlineStr">
        <is>
          <t>Yes</t>
        </is>
      </c>
      <c r="D22" s="20" t="inlineStr">
        <is>
          <t>Yes</t>
        </is>
      </c>
      <c r="E22" s="20" t="inlineStr">
        <is>
          <t>Yes</t>
        </is>
      </c>
      <c r="F22" s="20" t="inlineStr">
        <is>
          <t>Yes</t>
        </is>
      </c>
      <c r="G22" s="28" t="inlineStr">
        <is>
          <t>All timesheets submitted and stand-up meetings scheduled and attended. Review Aculocity Helpdesk for more information: https://helpdesk.gvwgroup.com/Timesheet.do</t>
        </is>
      </c>
      <c r="H22" s="1" t="n"/>
    </row>
    <row r="24" ht="72" customHeight="1">
      <c r="A24" s="15" t="inlineStr">
        <is>
          <t>Process Adherence overall (&gt;=90% of checklist items)</t>
        </is>
      </c>
      <c r="B24" s="15" t="inlineStr">
        <is>
          <t>Achieved/Not Achieved</t>
        </is>
      </c>
      <c r="C24" s="20" t="inlineStr">
        <is>
          <t>Yes</t>
        </is>
      </c>
      <c r="D24" s="63" t="inlineStr">
        <is>
          <t>All timesheets submitted and stand-up meetings scheduled and attended. Review Aculocity Helpdesk for more information: https://helpdesk.gvwgroup.com/Timesheet.do</t>
        </is>
      </c>
    </row>
    <row r="26" ht="72" customHeight="1">
      <c r="A26" s="22" t="inlineStr">
        <is>
          <t>3) Ticket-level Helpdesk hygiene (export proxies)</t>
        </is>
      </c>
    </row>
    <row r="27" ht="30" customFormat="1" customHeight="1" s="6">
      <c r="A27" s="42" t="inlineStr">
        <is>
          <t>Ticket No.</t>
        </is>
      </c>
      <c r="B27" s="42" t="inlineStr">
        <is>
          <t>Quarter</t>
        </is>
      </c>
      <c r="C27" s="42" t="inlineStr">
        <is>
          <t>Assign Date?</t>
        </is>
      </c>
      <c r="D27" s="42" t="inlineStr">
        <is>
          <t>Closure Date (if closed)?</t>
        </is>
      </c>
      <c r="E27" s="42" t="inlineStr">
        <is>
          <t>Resolution on closure?</t>
        </is>
      </c>
      <c r="F27" s="42" t="inlineStr">
        <is>
          <t>Code Change (PR required)?</t>
        </is>
      </c>
      <c r="G27" s="42" t="inlineStr">
        <is>
          <t>Owner OK?</t>
        </is>
      </c>
      <c r="H27" s="42" t="inlineStr">
        <is>
          <t>Hygiene Pass?</t>
        </is>
      </c>
      <c r="I27" s="42" t="inlineStr">
        <is>
          <t>Comments</t>
        </is>
      </c>
    </row>
    <row r="28" ht="72" customHeight="1">
      <c r="A28" s="15" t="n">
        <v>27879</v>
      </c>
      <c r="B28" s="15" t="inlineStr">
        <is>
          <t>Q1-2026</t>
        </is>
      </c>
      <c r="C28" s="27" t="inlineStr">
        <is>
          <t>Yes</t>
        </is>
      </c>
      <c r="D28" s="27" t="inlineStr">
        <is>
          <t>Yes</t>
        </is>
      </c>
      <c r="E28" s="27" t="inlineStr">
        <is>
          <t>Yes</t>
        </is>
      </c>
      <c r="F28" s="43" t="inlineStr">
        <is>
          <t>No</t>
        </is>
      </c>
      <c r="G28" s="27" t="inlineStr">
        <is>
          <t>Yes</t>
        </is>
      </c>
      <c r="H28" s="27" t="inlineStr">
        <is>
          <t>Yes</t>
        </is>
      </c>
      <c r="I28" s="15" t="inlineStr">
        <is>
          <t>PR Approval: see CodeChange_Tickets Azure_PR_URL if Code Change=Yes</t>
        </is>
      </c>
    </row>
    <row r="29" ht="72" customHeight="1">
      <c r="A29" s="15" t="n">
        <v>33371</v>
      </c>
      <c r="B29" s="15" t="inlineStr">
        <is>
          <t>Q1-2026</t>
        </is>
      </c>
      <c r="C29" s="27" t="inlineStr">
        <is>
          <t>Yes</t>
        </is>
      </c>
      <c r="D29" s="27" t="inlineStr">
        <is>
          <t>Yes</t>
        </is>
      </c>
      <c r="E29" s="27" t="inlineStr">
        <is>
          <t>Yes</t>
        </is>
      </c>
      <c r="F29" s="27" t="inlineStr">
        <is>
          <t>Yes</t>
        </is>
      </c>
      <c r="G29" s="27" t="inlineStr">
        <is>
          <t>Yes</t>
        </is>
      </c>
      <c r="H29" s="27" t="inlineStr">
        <is>
          <t>Yes</t>
        </is>
      </c>
      <c r="I29" s="15" t="inlineStr">
        <is>
          <t>PR Approval: see CodeChange_Tickets Azure_PR_URL if Code Change=Yes</t>
        </is>
      </c>
    </row>
    <row r="30" ht="72" customHeight="1">
      <c r="A30" s="15" t="n">
        <v>24196</v>
      </c>
      <c r="B30" s="15" t="inlineStr">
        <is>
          <t>Q1-2026</t>
        </is>
      </c>
      <c r="C30" s="27" t="inlineStr">
        <is>
          <t>Yes</t>
        </is>
      </c>
      <c r="D30" s="27" t="inlineStr">
        <is>
          <t>Yes</t>
        </is>
      </c>
      <c r="E30" s="27" t="inlineStr">
        <is>
          <t>Yes</t>
        </is>
      </c>
      <c r="F30" s="27" t="inlineStr">
        <is>
          <t>Yes</t>
        </is>
      </c>
      <c r="G30" s="27" t="inlineStr">
        <is>
          <t>Yes</t>
        </is>
      </c>
      <c r="H30" s="27" t="inlineStr">
        <is>
          <t>Yes</t>
        </is>
      </c>
      <c r="I30" s="15" t="inlineStr">
        <is>
          <t>PR Approval: see CodeChange_Tickets Azure_PR_URL if Code Change=Yes</t>
        </is>
      </c>
    </row>
    <row r="31" ht="72" customHeight="1">
      <c r="A31" s="15" t="n">
        <v>28823</v>
      </c>
      <c r="B31" s="15" t="inlineStr">
        <is>
          <t>Q1-2026</t>
        </is>
      </c>
      <c r="C31" s="27" t="inlineStr">
        <is>
          <t>Yes</t>
        </is>
      </c>
      <c r="D31" s="27" t="inlineStr">
        <is>
          <t>Yes</t>
        </is>
      </c>
      <c r="E31" s="27" t="inlineStr">
        <is>
          <t>Yes</t>
        </is>
      </c>
      <c r="F31" s="27" t="inlineStr">
        <is>
          <t>Yes</t>
        </is>
      </c>
      <c r="G31" s="27" t="inlineStr">
        <is>
          <t>Yes</t>
        </is>
      </c>
      <c r="H31" s="27" t="inlineStr">
        <is>
          <t>Yes</t>
        </is>
      </c>
      <c r="I31" s="15" t="inlineStr">
        <is>
          <t>PR Approval: see CodeChange_Tickets Azure_PR_URL if Code Change=Yes</t>
        </is>
      </c>
    </row>
    <row r="32" ht="72" customHeight="1">
      <c r="A32" s="15" t="n">
        <v>32104</v>
      </c>
      <c r="B32" s="15" t="inlineStr">
        <is>
          <t>Q1-2026</t>
        </is>
      </c>
      <c r="C32" s="27" t="inlineStr">
        <is>
          <t>Yes</t>
        </is>
      </c>
      <c r="D32" s="27" t="inlineStr">
        <is>
          <t>Yes</t>
        </is>
      </c>
      <c r="E32" s="27" t="inlineStr">
        <is>
          <t>Yes</t>
        </is>
      </c>
      <c r="F32" s="27" t="inlineStr">
        <is>
          <t>Yes</t>
        </is>
      </c>
      <c r="G32" s="27" t="inlineStr">
        <is>
          <t>Yes</t>
        </is>
      </c>
      <c r="H32" s="27" t="inlineStr">
        <is>
          <t>Yes</t>
        </is>
      </c>
      <c r="I32" s="15" t="inlineStr">
        <is>
          <t>PR Approval: see CodeChange_Tickets Azure_PR_URL if Code Change=Yes</t>
        </is>
      </c>
    </row>
    <row r="33" ht="72" customHeight="1">
      <c r="A33" s="15" t="n">
        <v>18851</v>
      </c>
      <c r="B33" s="15" t="inlineStr">
        <is>
          <t>Q1-2026</t>
        </is>
      </c>
      <c r="C33" s="27" t="inlineStr">
        <is>
          <t>Yes</t>
        </is>
      </c>
      <c r="D33" s="27" t="inlineStr">
        <is>
          <t>Yes</t>
        </is>
      </c>
      <c r="E33" s="27" t="inlineStr">
        <is>
          <t>Yes</t>
        </is>
      </c>
      <c r="F33" s="27" t="inlineStr">
        <is>
          <t>Yes</t>
        </is>
      </c>
      <c r="G33" s="27" t="inlineStr">
        <is>
          <t>Yes</t>
        </is>
      </c>
      <c r="H33" s="27" t="inlineStr">
        <is>
          <t>Yes</t>
        </is>
      </c>
      <c r="I33" s="15" t="inlineStr">
        <is>
          <t>PR Approval: see CodeChange_Tickets Azure_PR_URL if Code Change=Yes</t>
        </is>
      </c>
    </row>
    <row r="34" ht="72" customHeight="1">
      <c r="A34" s="15" t="n">
        <v>26757</v>
      </c>
      <c r="B34" s="15" t="inlineStr">
        <is>
          <t>Q1-2026</t>
        </is>
      </c>
      <c r="C34" s="27" t="inlineStr">
        <is>
          <t>Yes</t>
        </is>
      </c>
      <c r="D34" s="27" t="inlineStr">
        <is>
          <t>Yes</t>
        </is>
      </c>
      <c r="E34" s="27" t="inlineStr">
        <is>
          <t>Yes</t>
        </is>
      </c>
      <c r="F34" s="43" t="inlineStr">
        <is>
          <t>No</t>
        </is>
      </c>
      <c r="G34" s="27" t="inlineStr">
        <is>
          <t>Yes</t>
        </is>
      </c>
      <c r="H34" s="27" t="inlineStr">
        <is>
          <t>Yes</t>
        </is>
      </c>
      <c r="I34" s="15" t="inlineStr">
        <is>
          <t>PR Approval: see CodeChange_Tickets Azure_PR_URL if Code Change=Yes</t>
        </is>
      </c>
    </row>
    <row r="35" ht="72" customHeight="1">
      <c r="A35" s="15" t="n">
        <v>16609</v>
      </c>
      <c r="B35" s="15" t="inlineStr">
        <is>
          <t>Q1-2026</t>
        </is>
      </c>
      <c r="C35" s="27" t="inlineStr">
        <is>
          <t>Yes</t>
        </is>
      </c>
      <c r="D35" s="27" t="inlineStr">
        <is>
          <t>Yes</t>
        </is>
      </c>
      <c r="E35" s="27" t="inlineStr">
        <is>
          <t>Yes</t>
        </is>
      </c>
      <c r="F35" s="43" t="inlineStr">
        <is>
          <t>No</t>
        </is>
      </c>
      <c r="G35" s="27" t="inlineStr">
        <is>
          <t>Yes</t>
        </is>
      </c>
      <c r="H35" s="27" t="inlineStr">
        <is>
          <t>Yes</t>
        </is>
      </c>
      <c r="I35" s="15" t="inlineStr">
        <is>
          <t>PR Approval: see CodeChange_Tickets Azure_PR_URL if Code Change=Yes</t>
        </is>
      </c>
    </row>
    <row r="36" ht="72" customHeight="1">
      <c r="A36" s="15" t="n">
        <v>19454</v>
      </c>
      <c r="B36" s="15" t="inlineStr">
        <is>
          <t>Q1-2026</t>
        </is>
      </c>
      <c r="C36" s="27" t="inlineStr">
        <is>
          <t>Yes</t>
        </is>
      </c>
      <c r="D36" s="27" t="inlineStr">
        <is>
          <t>Yes</t>
        </is>
      </c>
      <c r="E36" s="27" t="inlineStr">
        <is>
          <t>Yes</t>
        </is>
      </c>
      <c r="F36" s="43" t="inlineStr">
        <is>
          <t>No</t>
        </is>
      </c>
      <c r="G36" s="27" t="inlineStr">
        <is>
          <t>Yes</t>
        </is>
      </c>
      <c r="H36" s="27" t="inlineStr">
        <is>
          <t>Yes</t>
        </is>
      </c>
      <c r="I36" s="15" t="inlineStr">
        <is>
          <t>PR Approval: see CodeChange_Tickets Azure_PR_URL if Code Change=Yes</t>
        </is>
      </c>
    </row>
    <row r="37" ht="72" customHeight="1">
      <c r="A37" s="15" t="n">
        <v>21546</v>
      </c>
      <c r="B37" s="15" t="inlineStr">
        <is>
          <t>Q1-2026</t>
        </is>
      </c>
      <c r="C37" s="27" t="inlineStr">
        <is>
          <t>Yes</t>
        </is>
      </c>
      <c r="D37" s="15" t="inlineStr">
        <is>
          <t>N/A</t>
        </is>
      </c>
      <c r="E37" s="15" t="inlineStr">
        <is>
          <t>N/A</t>
        </is>
      </c>
      <c r="F37" s="43" t="inlineStr">
        <is>
          <t>No</t>
        </is>
      </c>
      <c r="G37" s="27" t="inlineStr">
        <is>
          <t>Yes</t>
        </is>
      </c>
      <c r="H37" s="27" t="inlineStr">
        <is>
          <t>Yes</t>
        </is>
      </c>
      <c r="I37" s="15" t="inlineStr">
        <is>
          <t>PR Approval: see CodeChange_Tickets Azure_PR_URL if Code Change=Yes</t>
        </is>
      </c>
    </row>
    <row r="38" ht="72" customHeight="1">
      <c r="A38" s="15" t="n">
        <v>23410</v>
      </c>
      <c r="B38" s="15" t="inlineStr">
        <is>
          <t>Q2-2026</t>
        </is>
      </c>
      <c r="C38" s="27" t="inlineStr">
        <is>
          <t>Yes</t>
        </is>
      </c>
      <c r="D38" s="27" t="inlineStr">
        <is>
          <t>Yes</t>
        </is>
      </c>
      <c r="E38" s="27" t="inlineStr">
        <is>
          <t>Yes</t>
        </is>
      </c>
      <c r="F38" s="43" t="inlineStr">
        <is>
          <t>No</t>
        </is>
      </c>
      <c r="G38" s="27" t="inlineStr">
        <is>
          <t>Yes</t>
        </is>
      </c>
      <c r="H38" s="27" t="inlineStr">
        <is>
          <t>Yes</t>
        </is>
      </c>
      <c r="I38" s="15" t="inlineStr">
        <is>
          <t>PR Approval: see CodeChange_Tickets Azure_PR_URL if Code Change=Yes</t>
        </is>
      </c>
    </row>
    <row r="39" ht="72" customHeight="1">
      <c r="A39" s="15" t="n">
        <v>27702</v>
      </c>
      <c r="B39" s="15" t="inlineStr">
        <is>
          <t>Q2-2026</t>
        </is>
      </c>
      <c r="C39" s="27" t="inlineStr">
        <is>
          <t>Yes</t>
        </is>
      </c>
      <c r="D39" s="27" t="inlineStr">
        <is>
          <t>Yes</t>
        </is>
      </c>
      <c r="E39" s="27" t="inlineStr">
        <is>
          <t>Yes</t>
        </is>
      </c>
      <c r="F39" s="43" t="inlineStr">
        <is>
          <t>No</t>
        </is>
      </c>
      <c r="G39" s="27" t="inlineStr">
        <is>
          <t>Yes</t>
        </is>
      </c>
      <c r="H39" s="27" t="inlineStr">
        <is>
          <t>Yes</t>
        </is>
      </c>
      <c r="I39" s="15" t="inlineStr">
        <is>
          <t>PR Approval: see CodeChange_Tickets Azure_PR_URL if Code Change=Yes</t>
        </is>
      </c>
    </row>
    <row r="40" ht="72" customHeight="1">
      <c r="A40" s="15" t="n">
        <v>35294</v>
      </c>
      <c r="B40" s="15" t="inlineStr">
        <is>
          <t>Q2-2026</t>
        </is>
      </c>
      <c r="C40" s="27" t="inlineStr">
        <is>
          <t>Yes</t>
        </is>
      </c>
      <c r="D40" s="27" t="inlineStr">
        <is>
          <t>Yes</t>
        </is>
      </c>
      <c r="E40" s="27" t="inlineStr">
        <is>
          <t>Yes</t>
        </is>
      </c>
      <c r="F40" s="27" t="inlineStr">
        <is>
          <t>Yes</t>
        </is>
      </c>
      <c r="G40" s="27" t="inlineStr">
        <is>
          <t>Yes</t>
        </is>
      </c>
      <c r="H40" s="27" t="inlineStr">
        <is>
          <t>Yes</t>
        </is>
      </c>
      <c r="I40" s="15" t="inlineStr">
        <is>
          <t>PR Approval: see CodeChange_Tickets Azure_PR_URL if Code Change=Yes</t>
        </is>
      </c>
    </row>
    <row r="41" ht="72" customHeight="1">
      <c r="A41" s="15" t="n">
        <v>39384</v>
      </c>
      <c r="B41" s="15" t="inlineStr">
        <is>
          <t>Q2-2026</t>
        </is>
      </c>
      <c r="C41" s="27" t="inlineStr">
        <is>
          <t>Yes</t>
        </is>
      </c>
      <c r="D41" s="27" t="inlineStr">
        <is>
          <t>Yes</t>
        </is>
      </c>
      <c r="E41" s="27" t="inlineStr">
        <is>
          <t>Yes</t>
        </is>
      </c>
      <c r="F41" s="27" t="inlineStr">
        <is>
          <t>Yes</t>
        </is>
      </c>
      <c r="G41" s="27" t="inlineStr">
        <is>
          <t>Yes</t>
        </is>
      </c>
      <c r="H41" s="27" t="inlineStr">
        <is>
          <t>Yes</t>
        </is>
      </c>
      <c r="I41" s="15" t="inlineStr">
        <is>
          <t>PR Approval: see CodeChange_Tickets Azure_PR_URL if Code Change=Yes</t>
        </is>
      </c>
    </row>
    <row r="42" ht="72" customHeight="1">
      <c r="A42" s="15" t="n">
        <v>38145</v>
      </c>
      <c r="B42" s="15" t="inlineStr">
        <is>
          <t>Q2-2026</t>
        </is>
      </c>
      <c r="C42" s="27" t="inlineStr">
        <is>
          <t>Yes</t>
        </is>
      </c>
      <c r="D42" s="27" t="inlineStr">
        <is>
          <t>Yes</t>
        </is>
      </c>
      <c r="E42" s="27" t="inlineStr">
        <is>
          <t>Yes</t>
        </is>
      </c>
      <c r="F42" s="27" t="inlineStr">
        <is>
          <t>Yes</t>
        </is>
      </c>
      <c r="G42" s="27" t="inlineStr">
        <is>
          <t>Yes</t>
        </is>
      </c>
      <c r="H42" s="27" t="inlineStr">
        <is>
          <t>Yes</t>
        </is>
      </c>
      <c r="I42" s="15" t="inlineStr">
        <is>
          <t>PR Approval: see CodeChange_Tickets Azure_PR_URL if Code Change=Yes</t>
        </is>
      </c>
    </row>
    <row r="43" ht="72" customHeight="1">
      <c r="A43" s="15" t="n">
        <v>8822</v>
      </c>
      <c r="B43" s="15" t="inlineStr">
        <is>
          <t>Q2-2026</t>
        </is>
      </c>
      <c r="C43" s="27" t="inlineStr">
        <is>
          <t>Yes</t>
        </is>
      </c>
      <c r="D43" s="27" t="inlineStr">
        <is>
          <t>Yes</t>
        </is>
      </c>
      <c r="E43" s="27" t="inlineStr">
        <is>
          <t>Yes</t>
        </is>
      </c>
      <c r="F43" s="27" t="inlineStr">
        <is>
          <t>Yes</t>
        </is>
      </c>
      <c r="G43" s="27" t="inlineStr">
        <is>
          <t>Yes</t>
        </is>
      </c>
      <c r="H43" s="27" t="inlineStr">
        <is>
          <t>Yes</t>
        </is>
      </c>
      <c r="I43" s="15" t="inlineStr">
        <is>
          <t>PR Approval: see CodeChange_Tickets Azure_PR_URL if Code Change=Yes</t>
        </is>
      </c>
    </row>
    <row r="44" ht="72" customHeight="1">
      <c r="A44" s="15" t="n">
        <v>26664</v>
      </c>
      <c r="B44" s="15" t="inlineStr">
        <is>
          <t>Q2-2026</t>
        </is>
      </c>
      <c r="C44" s="27" t="inlineStr">
        <is>
          <t>Yes</t>
        </is>
      </c>
      <c r="D44" s="27" t="inlineStr">
        <is>
          <t>Yes</t>
        </is>
      </c>
      <c r="E44" s="27" t="inlineStr">
        <is>
          <t>Yes</t>
        </is>
      </c>
      <c r="F44" s="43" t="inlineStr">
        <is>
          <t>No</t>
        </is>
      </c>
      <c r="G44" s="27" t="inlineStr">
        <is>
          <t>Yes</t>
        </is>
      </c>
      <c r="H44" s="27" t="inlineStr">
        <is>
          <t>Yes</t>
        </is>
      </c>
      <c r="I44" s="15" t="inlineStr">
        <is>
          <t>PR Approval: see CodeChange_Tickets Azure_PR_URL if Code Change=Yes</t>
        </is>
      </c>
    </row>
    <row r="45" ht="72" customHeight="1">
      <c r="A45" s="15" t="n">
        <v>36560</v>
      </c>
      <c r="B45" s="15" t="inlineStr">
        <is>
          <t>Q2-2026</t>
        </is>
      </c>
      <c r="C45" s="27" t="inlineStr">
        <is>
          <t>Yes</t>
        </is>
      </c>
      <c r="D45" s="27" t="inlineStr">
        <is>
          <t>Yes</t>
        </is>
      </c>
      <c r="E45" s="27" t="inlineStr">
        <is>
          <t>Yes</t>
        </is>
      </c>
      <c r="F45" s="43" t="inlineStr">
        <is>
          <t>No</t>
        </is>
      </c>
      <c r="G45" s="27" t="inlineStr">
        <is>
          <t>Yes</t>
        </is>
      </c>
      <c r="H45" s="27" t="inlineStr">
        <is>
          <t>Yes</t>
        </is>
      </c>
      <c r="I45" s="15" t="inlineStr">
        <is>
          <t>PR Approval: see CodeChange_Tickets Azure_PR_URL if Code Change=Yes</t>
        </is>
      </c>
    </row>
    <row r="46" ht="72" customHeight="1">
      <c r="A46" s="15" t="n">
        <v>33631</v>
      </c>
      <c r="B46" s="15" t="inlineStr">
        <is>
          <t>Q2-2026</t>
        </is>
      </c>
      <c r="C46" s="27" t="inlineStr">
        <is>
          <t>Yes</t>
        </is>
      </c>
      <c r="D46" s="27" t="inlineStr">
        <is>
          <t>Yes</t>
        </is>
      </c>
      <c r="E46" s="27" t="inlineStr">
        <is>
          <t>Yes</t>
        </is>
      </c>
      <c r="F46" s="27" t="inlineStr">
        <is>
          <t>Yes</t>
        </is>
      </c>
      <c r="G46" s="27" t="inlineStr">
        <is>
          <t>Yes</t>
        </is>
      </c>
      <c r="H46" s="27" t="inlineStr">
        <is>
          <t>Yes</t>
        </is>
      </c>
      <c r="I46" s="15" t="inlineStr">
        <is>
          <t>PR Approval: see CodeChange_Tickets Azure_PR_URL if Code Change=Yes</t>
        </is>
      </c>
    </row>
    <row r="47" ht="72" customHeight="1">
      <c r="A47" s="15" t="n">
        <v>38146</v>
      </c>
      <c r="B47" s="15" t="inlineStr">
        <is>
          <t>Q2-2026</t>
        </is>
      </c>
      <c r="C47" s="27" t="inlineStr">
        <is>
          <t>Yes</t>
        </is>
      </c>
      <c r="D47" s="27" t="inlineStr">
        <is>
          <t>Yes</t>
        </is>
      </c>
      <c r="E47" s="27" t="inlineStr">
        <is>
          <t>Yes</t>
        </is>
      </c>
      <c r="F47" s="43" t="inlineStr">
        <is>
          <t>No</t>
        </is>
      </c>
      <c r="G47" s="27" t="inlineStr">
        <is>
          <t>Yes</t>
        </is>
      </c>
      <c r="H47" s="27" t="inlineStr">
        <is>
          <t>Yes</t>
        </is>
      </c>
      <c r="I47" s="15" t="inlineStr">
        <is>
          <t>PR Approval: see CodeChange_Tickets Azure_PR_URL if Code Change=Yes</t>
        </is>
      </c>
    </row>
    <row r="48" ht="72" customHeight="1">
      <c r="A48" s="15" t="n">
        <v>30159</v>
      </c>
      <c r="B48" s="15" t="inlineStr">
        <is>
          <t>Q2-2026</t>
        </is>
      </c>
      <c r="C48" s="27" t="inlineStr">
        <is>
          <t>Yes</t>
        </is>
      </c>
      <c r="D48" s="27" t="inlineStr">
        <is>
          <t>Yes</t>
        </is>
      </c>
      <c r="E48" s="27" t="inlineStr">
        <is>
          <t>Yes</t>
        </is>
      </c>
      <c r="F48" s="43" t="inlineStr">
        <is>
          <t>No</t>
        </is>
      </c>
      <c r="G48" s="27" t="inlineStr">
        <is>
          <t>Yes</t>
        </is>
      </c>
      <c r="H48" s="27" t="inlineStr">
        <is>
          <t>Yes</t>
        </is>
      </c>
      <c r="I48" s="15" t="inlineStr">
        <is>
          <t>PR Approval: see CodeChange_Tickets Azure_PR_URL if Code Change=Yes</t>
        </is>
      </c>
    </row>
    <row r="49" ht="72" customHeight="1">
      <c r="A49" s="15" t="n">
        <v>31307</v>
      </c>
      <c r="B49" s="15" t="inlineStr">
        <is>
          <t>Q2-2026</t>
        </is>
      </c>
      <c r="C49" s="27" t="inlineStr">
        <is>
          <t>Yes</t>
        </is>
      </c>
      <c r="D49" s="27" t="inlineStr">
        <is>
          <t>Yes</t>
        </is>
      </c>
      <c r="E49" s="27" t="inlineStr">
        <is>
          <t>Yes</t>
        </is>
      </c>
      <c r="F49" s="27" t="inlineStr">
        <is>
          <t>Yes</t>
        </is>
      </c>
      <c r="G49" s="27" t="inlineStr">
        <is>
          <t>Yes</t>
        </is>
      </c>
      <c r="H49" s="27" t="inlineStr">
        <is>
          <t>Yes</t>
        </is>
      </c>
      <c r="I49" s="15" t="inlineStr">
        <is>
          <t>PR Approval: see CodeChange_Tickets Azure_PR_URL if Code Change=Yes</t>
        </is>
      </c>
    </row>
    <row r="50" ht="72" customHeight="1">
      <c r="A50" s="15" t="n">
        <v>3575</v>
      </c>
      <c r="B50" s="15" t="inlineStr">
        <is>
          <t>Q2-2026</t>
        </is>
      </c>
      <c r="C50" s="27" t="inlineStr">
        <is>
          <t>Yes</t>
        </is>
      </c>
      <c r="D50" s="27" t="inlineStr">
        <is>
          <t>Yes</t>
        </is>
      </c>
      <c r="E50" s="27" t="inlineStr">
        <is>
          <t>Yes</t>
        </is>
      </c>
      <c r="F50" s="27" t="inlineStr">
        <is>
          <t>Yes</t>
        </is>
      </c>
      <c r="G50" s="27" t="inlineStr">
        <is>
          <t>Yes</t>
        </is>
      </c>
      <c r="H50" s="27" t="inlineStr">
        <is>
          <t>Yes</t>
        </is>
      </c>
      <c r="I50" s="15" t="inlineStr">
        <is>
          <t>PR Approval: see CodeChange_Tickets Azure_PR_URL if Code Change=Yes</t>
        </is>
      </c>
    </row>
    <row r="51" ht="72" customHeight="1">
      <c r="A51" s="15" t="n">
        <v>41202</v>
      </c>
      <c r="B51" s="15" t="inlineStr">
        <is>
          <t>Q2-2026</t>
        </is>
      </c>
      <c r="C51" s="27" t="inlineStr">
        <is>
          <t>Yes</t>
        </is>
      </c>
      <c r="D51" s="27" t="inlineStr">
        <is>
          <t>Yes</t>
        </is>
      </c>
      <c r="E51" s="27" t="inlineStr">
        <is>
          <t>Yes</t>
        </is>
      </c>
      <c r="F51" s="27" t="inlineStr">
        <is>
          <t>Yes</t>
        </is>
      </c>
      <c r="G51" s="27" t="inlineStr">
        <is>
          <t>Yes</t>
        </is>
      </c>
      <c r="H51" s="27" t="inlineStr">
        <is>
          <t>Yes</t>
        </is>
      </c>
      <c r="I51" s="15" t="inlineStr">
        <is>
          <t>PR Approval: see CodeChange_Tickets Azure_PR_URL if Code Change=Yes</t>
        </is>
      </c>
    </row>
    <row r="52" ht="72" customHeight="1">
      <c r="A52" s="15" t="n">
        <v>16146</v>
      </c>
      <c r="B52" s="15" t="inlineStr">
        <is>
          <t>Q2-2026</t>
        </is>
      </c>
      <c r="C52" s="27" t="inlineStr">
        <is>
          <t>Yes</t>
        </is>
      </c>
      <c r="D52" s="15" t="inlineStr">
        <is>
          <t>N/A</t>
        </is>
      </c>
      <c r="E52" s="15" t="inlineStr">
        <is>
          <t>N/A</t>
        </is>
      </c>
      <c r="F52" s="43" t="inlineStr">
        <is>
          <t>No</t>
        </is>
      </c>
      <c r="G52" s="27" t="inlineStr">
        <is>
          <t>Yes</t>
        </is>
      </c>
      <c r="H52" s="27" t="inlineStr">
        <is>
          <t>Yes</t>
        </is>
      </c>
      <c r="I52" s="15" t="inlineStr">
        <is>
          <t>PR Approval: see CodeChange_Tickets Azure_PR_URL if Code Change=Yes</t>
        </is>
      </c>
    </row>
    <row r="53" ht="72" customHeight="1">
      <c r="A53" s="15" t="n">
        <v>25881</v>
      </c>
      <c r="B53" s="15" t="inlineStr">
        <is>
          <t>Q3-2025</t>
        </is>
      </c>
      <c r="C53" s="27" t="inlineStr">
        <is>
          <t>Yes</t>
        </is>
      </c>
      <c r="D53" s="27" t="inlineStr">
        <is>
          <t>Yes</t>
        </is>
      </c>
      <c r="E53" s="27" t="inlineStr">
        <is>
          <t>Yes</t>
        </is>
      </c>
      <c r="F53" s="43" t="inlineStr">
        <is>
          <t>No</t>
        </is>
      </c>
      <c r="G53" s="27" t="inlineStr">
        <is>
          <t>Yes</t>
        </is>
      </c>
      <c r="H53" s="27" t="inlineStr">
        <is>
          <t>Yes</t>
        </is>
      </c>
      <c r="I53" s="15" t="inlineStr">
        <is>
          <t>PR Approval: see CodeChange_Tickets Azure_PR_URL if Code Change=Yes</t>
        </is>
      </c>
    </row>
    <row r="54" ht="72" customHeight="1">
      <c r="A54" s="15" t="n">
        <v>27117</v>
      </c>
      <c r="B54" s="15" t="inlineStr">
        <is>
          <t>Q3-2025</t>
        </is>
      </c>
      <c r="C54" s="27" t="inlineStr">
        <is>
          <t>Yes</t>
        </is>
      </c>
      <c r="D54" s="27" t="inlineStr">
        <is>
          <t>Yes</t>
        </is>
      </c>
      <c r="E54" s="27" t="inlineStr">
        <is>
          <t>Yes</t>
        </is>
      </c>
      <c r="F54" s="27" t="inlineStr">
        <is>
          <t>Yes</t>
        </is>
      </c>
      <c r="G54" s="27" t="inlineStr">
        <is>
          <t>Yes</t>
        </is>
      </c>
      <c r="H54" s="27" t="inlineStr">
        <is>
          <t>Yes</t>
        </is>
      </c>
      <c r="I54" s="15" t="inlineStr">
        <is>
          <t>PR Approval: see CodeChange_Tickets Azure_PR_URL if Code Change=Yes</t>
        </is>
      </c>
    </row>
    <row r="55" ht="72" customHeight="1">
      <c r="A55" s="15" t="n">
        <v>27339</v>
      </c>
      <c r="B55" s="15" t="inlineStr">
        <is>
          <t>Q3-2025</t>
        </is>
      </c>
      <c r="C55" s="27" t="inlineStr">
        <is>
          <t>Yes</t>
        </is>
      </c>
      <c r="D55" s="27" t="inlineStr">
        <is>
          <t>Yes</t>
        </is>
      </c>
      <c r="E55" s="27" t="inlineStr">
        <is>
          <t>Yes</t>
        </is>
      </c>
      <c r="F55" s="43" t="inlineStr">
        <is>
          <t>No</t>
        </is>
      </c>
      <c r="G55" s="27" t="inlineStr">
        <is>
          <t>Yes</t>
        </is>
      </c>
      <c r="H55" s="27" t="inlineStr">
        <is>
          <t>Yes</t>
        </is>
      </c>
      <c r="I55" s="15" t="inlineStr">
        <is>
          <t>PR Approval: see CodeChange_Tickets Azure_PR_URL if Code Change=Yes</t>
        </is>
      </c>
    </row>
    <row r="56" ht="72" customHeight="1">
      <c r="A56" s="15" t="n">
        <v>23780</v>
      </c>
      <c r="B56" s="15" t="inlineStr">
        <is>
          <t>Q3-2025</t>
        </is>
      </c>
      <c r="C56" s="27" t="inlineStr">
        <is>
          <t>Yes</t>
        </is>
      </c>
      <c r="D56" s="27" t="inlineStr">
        <is>
          <t>Yes</t>
        </is>
      </c>
      <c r="E56" s="27" t="inlineStr">
        <is>
          <t>Yes</t>
        </is>
      </c>
      <c r="F56" s="27" t="inlineStr">
        <is>
          <t>Yes</t>
        </is>
      </c>
      <c r="G56" s="27" t="inlineStr">
        <is>
          <t>Yes</t>
        </is>
      </c>
      <c r="H56" s="27" t="inlineStr">
        <is>
          <t>Yes</t>
        </is>
      </c>
      <c r="I56" s="15" t="inlineStr">
        <is>
          <t>PR Approval: see CodeChange_Tickets Azure_PR_URL if Code Change=Yes</t>
        </is>
      </c>
    </row>
    <row r="57" ht="72" customHeight="1">
      <c r="A57" s="15" t="n">
        <v>22609</v>
      </c>
      <c r="B57" s="15" t="inlineStr">
        <is>
          <t>Q3-2025</t>
        </is>
      </c>
      <c r="C57" s="27" t="inlineStr">
        <is>
          <t>Yes</t>
        </is>
      </c>
      <c r="D57" s="27" t="inlineStr">
        <is>
          <t>Yes</t>
        </is>
      </c>
      <c r="E57" s="27" t="inlineStr">
        <is>
          <t>Yes</t>
        </is>
      </c>
      <c r="F57" s="27" t="inlineStr">
        <is>
          <t>Yes</t>
        </is>
      </c>
      <c r="G57" s="27" t="inlineStr">
        <is>
          <t>Yes</t>
        </is>
      </c>
      <c r="H57" s="27" t="inlineStr">
        <is>
          <t>Yes</t>
        </is>
      </c>
      <c r="I57" s="15" t="inlineStr">
        <is>
          <t>PR Approval: see CodeChange_Tickets Azure_PR_URL if Code Change=Yes</t>
        </is>
      </c>
    </row>
    <row r="58" ht="72" customHeight="1">
      <c r="A58" s="15" t="n">
        <v>15506</v>
      </c>
      <c r="B58" s="15" t="inlineStr">
        <is>
          <t>Q3-2025</t>
        </is>
      </c>
      <c r="C58" s="27" t="inlineStr">
        <is>
          <t>Yes</t>
        </is>
      </c>
      <c r="D58" s="27" t="inlineStr">
        <is>
          <t>Yes</t>
        </is>
      </c>
      <c r="E58" s="27" t="inlineStr">
        <is>
          <t>Yes</t>
        </is>
      </c>
      <c r="F58" s="27" t="inlineStr">
        <is>
          <t>Yes</t>
        </is>
      </c>
      <c r="G58" s="27" t="inlineStr">
        <is>
          <t>Yes</t>
        </is>
      </c>
      <c r="H58" s="27" t="inlineStr">
        <is>
          <t>Yes</t>
        </is>
      </c>
      <c r="I58" s="15" t="inlineStr">
        <is>
          <t>PR Approval: see CodeChange_Tickets Azure_PR_URL if Code Change=Yes</t>
        </is>
      </c>
    </row>
    <row r="59" ht="72" customHeight="1">
      <c r="A59" s="15" t="n">
        <v>19387</v>
      </c>
      <c r="B59" s="15" t="inlineStr">
        <is>
          <t>Q3-2025</t>
        </is>
      </c>
      <c r="C59" s="27" t="inlineStr">
        <is>
          <t>Yes</t>
        </is>
      </c>
      <c r="D59" s="27" t="inlineStr">
        <is>
          <t>Yes</t>
        </is>
      </c>
      <c r="E59" s="27" t="inlineStr">
        <is>
          <t>Yes</t>
        </is>
      </c>
      <c r="F59" s="27" t="inlineStr">
        <is>
          <t>Yes</t>
        </is>
      </c>
      <c r="G59" s="27" t="inlineStr">
        <is>
          <t>Yes</t>
        </is>
      </c>
      <c r="H59" s="27" t="inlineStr">
        <is>
          <t>Yes</t>
        </is>
      </c>
      <c r="I59" s="15" t="inlineStr">
        <is>
          <t>PR Approval: see CodeChange_Tickets Azure_PR_URL if Code Change=Yes</t>
        </is>
      </c>
    </row>
    <row r="60" ht="72" customHeight="1">
      <c r="A60" s="15" t="n">
        <v>27999</v>
      </c>
      <c r="B60" s="15" t="inlineStr">
        <is>
          <t>Q3-2025</t>
        </is>
      </c>
      <c r="C60" s="27" t="inlineStr">
        <is>
          <t>Yes</t>
        </is>
      </c>
      <c r="D60" s="27" t="inlineStr">
        <is>
          <t>Yes</t>
        </is>
      </c>
      <c r="E60" s="27" t="inlineStr">
        <is>
          <t>Yes</t>
        </is>
      </c>
      <c r="F60" s="43" t="inlineStr">
        <is>
          <t>No</t>
        </is>
      </c>
      <c r="G60" s="27" t="inlineStr">
        <is>
          <t>Yes</t>
        </is>
      </c>
      <c r="H60" s="27" t="inlineStr">
        <is>
          <t>Yes</t>
        </is>
      </c>
      <c r="I60" s="15" t="inlineStr">
        <is>
          <t>PR Approval: see CodeChange_Tickets Azure_PR_URL if Code Change=Yes</t>
        </is>
      </c>
    </row>
    <row r="61" ht="72" customHeight="1">
      <c r="A61" s="15" t="n">
        <v>24154</v>
      </c>
      <c r="B61" s="15" t="inlineStr">
        <is>
          <t>Q3-2025</t>
        </is>
      </c>
      <c r="C61" s="27" t="inlineStr">
        <is>
          <t>Yes</t>
        </is>
      </c>
      <c r="D61" s="27" t="inlineStr">
        <is>
          <t>Yes</t>
        </is>
      </c>
      <c r="E61" s="27" t="inlineStr">
        <is>
          <t>Yes</t>
        </is>
      </c>
      <c r="F61" s="43" t="inlineStr">
        <is>
          <t>No</t>
        </is>
      </c>
      <c r="G61" s="27" t="inlineStr">
        <is>
          <t>Yes</t>
        </is>
      </c>
      <c r="H61" s="27" t="inlineStr">
        <is>
          <t>Yes</t>
        </is>
      </c>
      <c r="I61" s="15" t="inlineStr">
        <is>
          <t>PR Approval: see CodeChange_Tickets Azure_PR_URL if Code Change=Yes</t>
        </is>
      </c>
    </row>
    <row r="62" ht="72" customHeight="1">
      <c r="A62" s="15" t="n">
        <v>27977</v>
      </c>
      <c r="B62" s="15" t="inlineStr">
        <is>
          <t>Q3-2025</t>
        </is>
      </c>
      <c r="C62" s="27" t="inlineStr">
        <is>
          <t>Yes</t>
        </is>
      </c>
      <c r="D62" s="27" t="inlineStr">
        <is>
          <t>Yes</t>
        </is>
      </c>
      <c r="E62" s="27" t="inlineStr">
        <is>
          <t>Yes</t>
        </is>
      </c>
      <c r="F62" s="43" t="inlineStr">
        <is>
          <t>No</t>
        </is>
      </c>
      <c r="G62" s="27" t="inlineStr">
        <is>
          <t>Yes</t>
        </is>
      </c>
      <c r="H62" s="27" t="inlineStr">
        <is>
          <t>Yes</t>
        </is>
      </c>
      <c r="I62" s="15" t="inlineStr">
        <is>
          <t>PR Approval: see CodeChange_Tickets Azure_PR_URL if Code Change=Yes</t>
        </is>
      </c>
    </row>
    <row r="63" ht="72" customHeight="1">
      <c r="A63" s="15" t="n">
        <v>29010</v>
      </c>
      <c r="B63" s="15" t="inlineStr">
        <is>
          <t>Q3-2025</t>
        </is>
      </c>
      <c r="C63" s="27" t="inlineStr">
        <is>
          <t>Yes</t>
        </is>
      </c>
      <c r="D63" s="27" t="inlineStr">
        <is>
          <t>Yes</t>
        </is>
      </c>
      <c r="E63" s="27" t="inlineStr">
        <is>
          <t>Yes</t>
        </is>
      </c>
      <c r="F63" s="43" t="inlineStr">
        <is>
          <t>No</t>
        </is>
      </c>
      <c r="G63" s="27" t="inlineStr">
        <is>
          <t>Yes</t>
        </is>
      </c>
      <c r="H63" s="27" t="inlineStr">
        <is>
          <t>Yes</t>
        </is>
      </c>
      <c r="I63" s="15" t="inlineStr">
        <is>
          <t>PR Approval: see CodeChange_Tickets Azure_PR_URL if Code Change=Yes</t>
        </is>
      </c>
    </row>
    <row r="64" ht="72" customHeight="1">
      <c r="A64" s="15" t="n">
        <v>17996</v>
      </c>
      <c r="B64" s="15" t="inlineStr">
        <is>
          <t>Q3-2025</t>
        </is>
      </c>
      <c r="C64" s="27" t="inlineStr">
        <is>
          <t>Yes</t>
        </is>
      </c>
      <c r="D64" s="15" t="inlineStr">
        <is>
          <t>N/A</t>
        </is>
      </c>
      <c r="E64" s="15" t="inlineStr">
        <is>
          <t>N/A</t>
        </is>
      </c>
      <c r="F64" s="27" t="inlineStr">
        <is>
          <t>Yes</t>
        </is>
      </c>
      <c r="G64" s="27" t="inlineStr">
        <is>
          <t>Yes</t>
        </is>
      </c>
      <c r="H64" s="27" t="inlineStr">
        <is>
          <t>Yes</t>
        </is>
      </c>
      <c r="I64" s="15" t="inlineStr">
        <is>
          <t>PR Approval: see CodeChange_Tickets Azure_PR_URL if Code Change=Yes</t>
        </is>
      </c>
    </row>
    <row r="65" ht="72" customHeight="1">
      <c r="A65" s="15" t="n">
        <v>26181</v>
      </c>
      <c r="B65" s="15" t="inlineStr">
        <is>
          <t>Q3-2025</t>
        </is>
      </c>
      <c r="C65" s="27" t="inlineStr">
        <is>
          <t>Yes</t>
        </is>
      </c>
      <c r="D65" s="15" t="inlineStr">
        <is>
          <t>N/A</t>
        </is>
      </c>
      <c r="E65" s="15" t="inlineStr">
        <is>
          <t>N/A</t>
        </is>
      </c>
      <c r="F65" s="27" t="inlineStr">
        <is>
          <t>Yes</t>
        </is>
      </c>
      <c r="G65" s="27" t="inlineStr">
        <is>
          <t>Yes</t>
        </is>
      </c>
      <c r="H65" s="27" t="inlineStr">
        <is>
          <t>Yes</t>
        </is>
      </c>
      <c r="I65" s="15" t="inlineStr">
        <is>
          <t>PR Approval: see CodeChange_Tickets Azure_PR_URL if Code Change=Yes</t>
        </is>
      </c>
    </row>
    <row r="66" ht="72" customHeight="1">
      <c r="A66" s="15" t="n">
        <v>37814</v>
      </c>
      <c r="B66" s="15" t="inlineStr">
        <is>
          <t>Q3-2026</t>
        </is>
      </c>
      <c r="C66" s="27" t="inlineStr">
        <is>
          <t>Yes</t>
        </is>
      </c>
      <c r="D66" s="27" t="inlineStr">
        <is>
          <t>Yes</t>
        </is>
      </c>
      <c r="E66" s="27" t="inlineStr">
        <is>
          <t>Yes</t>
        </is>
      </c>
      <c r="F66" s="27" t="inlineStr">
        <is>
          <t>Yes</t>
        </is>
      </c>
      <c r="G66" s="27" t="inlineStr">
        <is>
          <t>Yes</t>
        </is>
      </c>
      <c r="H66" s="27" t="inlineStr">
        <is>
          <t>Yes</t>
        </is>
      </c>
      <c r="I66" s="15" t="inlineStr">
        <is>
          <t>PR Approval: see CodeChange_Tickets Azure_PR_URL if Code Change=Yes</t>
        </is>
      </c>
    </row>
    <row r="67" ht="72" customHeight="1">
      <c r="A67" s="15" t="n">
        <v>42241</v>
      </c>
      <c r="B67" s="15" t="inlineStr">
        <is>
          <t>Q3-2026</t>
        </is>
      </c>
      <c r="C67" s="27" t="inlineStr">
        <is>
          <t>Yes</t>
        </is>
      </c>
      <c r="D67" s="27" t="inlineStr">
        <is>
          <t>Yes</t>
        </is>
      </c>
      <c r="E67" s="27" t="inlineStr">
        <is>
          <t>Yes</t>
        </is>
      </c>
      <c r="F67" s="27" t="inlineStr">
        <is>
          <t>Yes</t>
        </is>
      </c>
      <c r="G67" s="27" t="inlineStr">
        <is>
          <t>Yes</t>
        </is>
      </c>
      <c r="H67" s="27" t="inlineStr">
        <is>
          <t>Yes</t>
        </is>
      </c>
      <c r="I67" s="15" t="inlineStr">
        <is>
          <t>PR Approval: see CodeChange_Tickets Azure_PR_URL if Code Change=Yes</t>
        </is>
      </c>
    </row>
    <row r="68" ht="72" customHeight="1">
      <c r="A68" s="15" t="n">
        <v>13789</v>
      </c>
      <c r="B68" s="15" t="inlineStr">
        <is>
          <t>Q3-2026</t>
        </is>
      </c>
      <c r="C68" s="27" t="inlineStr">
        <is>
          <t>Yes</t>
        </is>
      </c>
      <c r="D68" s="15" t="inlineStr">
        <is>
          <t>N/A</t>
        </is>
      </c>
      <c r="E68" s="15" t="inlineStr">
        <is>
          <t>N/A</t>
        </is>
      </c>
      <c r="F68" s="27" t="inlineStr">
        <is>
          <t>Yes</t>
        </is>
      </c>
      <c r="G68" s="27" t="inlineStr">
        <is>
          <t>Yes</t>
        </is>
      </c>
      <c r="H68" s="27" t="inlineStr">
        <is>
          <t>Yes</t>
        </is>
      </c>
      <c r="I68" s="15" t="inlineStr">
        <is>
          <t>PR Approval: see CodeChange_Tickets Azure_PR_URL if Code Change=Yes</t>
        </is>
      </c>
    </row>
    <row r="69" ht="72" customHeight="1">
      <c r="A69" s="15" t="n">
        <v>42122</v>
      </c>
      <c r="B69" s="15" t="inlineStr">
        <is>
          <t>Q3-2026</t>
        </is>
      </c>
      <c r="C69" s="27" t="inlineStr">
        <is>
          <t>Yes</t>
        </is>
      </c>
      <c r="D69" s="15" t="inlineStr">
        <is>
          <t>N/A</t>
        </is>
      </c>
      <c r="E69" s="15" t="inlineStr">
        <is>
          <t>N/A</t>
        </is>
      </c>
      <c r="F69" s="27" t="inlineStr">
        <is>
          <t>Yes</t>
        </is>
      </c>
      <c r="G69" s="27" t="inlineStr">
        <is>
          <t>Yes</t>
        </is>
      </c>
      <c r="H69" s="27" t="inlineStr">
        <is>
          <t>Yes</t>
        </is>
      </c>
      <c r="I69" s="15" t="inlineStr">
        <is>
          <t>PR Approval: see CodeChange_Tickets Azure_PR_URL if Code Change=Yes</t>
        </is>
      </c>
    </row>
    <row r="70" ht="72" customHeight="1">
      <c r="A70" s="15" t="n">
        <v>16188</v>
      </c>
      <c r="B70" s="15" t="inlineStr">
        <is>
          <t>Q4-2025</t>
        </is>
      </c>
      <c r="C70" s="27" t="inlineStr">
        <is>
          <t>Yes</t>
        </is>
      </c>
      <c r="D70" s="27" t="inlineStr">
        <is>
          <t>Yes</t>
        </is>
      </c>
      <c r="E70" s="27" t="inlineStr">
        <is>
          <t>Yes</t>
        </is>
      </c>
      <c r="F70" s="27" t="inlineStr">
        <is>
          <t>Yes</t>
        </is>
      </c>
      <c r="G70" s="27" t="inlineStr">
        <is>
          <t>Yes</t>
        </is>
      </c>
      <c r="H70" s="27" t="inlineStr">
        <is>
          <t>Yes</t>
        </is>
      </c>
      <c r="I70" s="15" t="inlineStr">
        <is>
          <t>PR Approval: see CodeChange_Tickets Azure_PR_URL if Code Change=Yes</t>
        </is>
      </c>
    </row>
    <row r="71" ht="72" customHeight="1">
      <c r="A71" s="15" t="n">
        <v>23721</v>
      </c>
      <c r="B71" s="15" t="inlineStr">
        <is>
          <t>Q4-2025</t>
        </is>
      </c>
      <c r="C71" s="27" t="inlineStr">
        <is>
          <t>Yes</t>
        </is>
      </c>
      <c r="D71" s="27" t="inlineStr">
        <is>
          <t>Yes</t>
        </is>
      </c>
      <c r="E71" s="27" t="inlineStr">
        <is>
          <t>Yes</t>
        </is>
      </c>
      <c r="F71" s="27" t="inlineStr">
        <is>
          <t>Yes</t>
        </is>
      </c>
      <c r="G71" s="27" t="inlineStr">
        <is>
          <t>Yes</t>
        </is>
      </c>
      <c r="H71" s="27" t="inlineStr">
        <is>
          <t>Yes</t>
        </is>
      </c>
      <c r="I71" s="15" t="inlineStr">
        <is>
          <t>PR Approval: see CodeChange_Tickets Azure_PR_URL if Code Change=Yes</t>
        </is>
      </c>
    </row>
    <row r="72" ht="72" customHeight="1">
      <c r="A72" s="15" t="n">
        <v>30165</v>
      </c>
      <c r="B72" s="15" t="inlineStr">
        <is>
          <t>Q4-2025</t>
        </is>
      </c>
      <c r="C72" s="27" t="inlineStr">
        <is>
          <t>Yes</t>
        </is>
      </c>
      <c r="D72" s="27" t="inlineStr">
        <is>
          <t>Yes</t>
        </is>
      </c>
      <c r="E72" s="27" t="inlineStr">
        <is>
          <t>Yes</t>
        </is>
      </c>
      <c r="F72" s="27" t="inlineStr">
        <is>
          <t>Yes</t>
        </is>
      </c>
      <c r="G72" s="27" t="inlineStr">
        <is>
          <t>Yes</t>
        </is>
      </c>
      <c r="H72" s="27" t="inlineStr">
        <is>
          <t>Yes</t>
        </is>
      </c>
      <c r="I72" s="15" t="inlineStr">
        <is>
          <t>PR Approval: see CodeChange_Tickets Azure_PR_URL if Code Change=Yes</t>
        </is>
      </c>
    </row>
    <row r="73" ht="72" customHeight="1">
      <c r="A73" s="15" t="n">
        <v>7612</v>
      </c>
      <c r="B73" s="15" t="inlineStr">
        <is>
          <t>Q4-2025</t>
        </is>
      </c>
      <c r="C73" s="27" t="inlineStr">
        <is>
          <t>Yes</t>
        </is>
      </c>
      <c r="D73" s="27" t="inlineStr">
        <is>
          <t>Yes</t>
        </is>
      </c>
      <c r="E73" s="27" t="inlineStr">
        <is>
          <t>Yes</t>
        </is>
      </c>
      <c r="F73" s="27" t="inlineStr">
        <is>
          <t>Yes</t>
        </is>
      </c>
      <c r="G73" s="27" t="inlineStr">
        <is>
          <t>Yes</t>
        </is>
      </c>
      <c r="H73" s="27" t="inlineStr">
        <is>
          <t>Yes</t>
        </is>
      </c>
      <c r="I73" s="15" t="inlineStr">
        <is>
          <t>PR Approval: see CodeChange_Tickets Azure_PR_URL if Code Change=Yes</t>
        </is>
      </c>
    </row>
    <row r="74" ht="72" customHeight="1">
      <c r="A74" s="15" t="n">
        <v>28049</v>
      </c>
      <c r="B74" s="15" t="inlineStr">
        <is>
          <t>Q4-2025</t>
        </is>
      </c>
      <c r="C74" s="27" t="inlineStr">
        <is>
          <t>Yes</t>
        </is>
      </c>
      <c r="D74" s="27" t="inlineStr">
        <is>
          <t>Yes</t>
        </is>
      </c>
      <c r="E74" s="27" t="inlineStr">
        <is>
          <t>Yes</t>
        </is>
      </c>
      <c r="F74" s="27" t="inlineStr">
        <is>
          <t>Yes</t>
        </is>
      </c>
      <c r="G74" s="27" t="inlineStr">
        <is>
          <t>Yes</t>
        </is>
      </c>
      <c r="H74" s="27" t="inlineStr">
        <is>
          <t>Yes</t>
        </is>
      </c>
      <c r="I74" s="15" t="inlineStr">
        <is>
          <t>PR Approval: see CodeChange_Tickets Azure_PR_URL if Code Change=Yes</t>
        </is>
      </c>
    </row>
    <row r="75" ht="72" customHeight="1">
      <c r="A75" s="15" t="n">
        <v>27250</v>
      </c>
      <c r="B75" s="15" t="inlineStr">
        <is>
          <t>Q4-2025</t>
        </is>
      </c>
      <c r="C75" s="27" t="inlineStr">
        <is>
          <t>Yes</t>
        </is>
      </c>
      <c r="D75" s="27" t="inlineStr">
        <is>
          <t>Yes</t>
        </is>
      </c>
      <c r="E75" s="27" t="inlineStr">
        <is>
          <t>Yes</t>
        </is>
      </c>
      <c r="F75" s="27" t="inlineStr">
        <is>
          <t>Yes</t>
        </is>
      </c>
      <c r="G75" s="27" t="inlineStr">
        <is>
          <t>Yes</t>
        </is>
      </c>
      <c r="H75" s="27" t="inlineStr">
        <is>
          <t>Yes</t>
        </is>
      </c>
      <c r="I75" s="15" t="inlineStr">
        <is>
          <t>PR Approval: see CodeChange_Tickets Azure_PR_URL if Code Change=Yes</t>
        </is>
      </c>
    </row>
    <row r="76" ht="72" customHeight="1">
      <c r="A76" s="15" t="n">
        <v>27857</v>
      </c>
      <c r="B76" s="15" t="inlineStr">
        <is>
          <t>Q4-2025</t>
        </is>
      </c>
      <c r="C76" s="27" t="inlineStr">
        <is>
          <t>Yes</t>
        </is>
      </c>
      <c r="D76" s="27" t="inlineStr">
        <is>
          <t>Yes</t>
        </is>
      </c>
      <c r="E76" s="27" t="inlineStr">
        <is>
          <t>Yes</t>
        </is>
      </c>
      <c r="F76" s="27" t="inlineStr">
        <is>
          <t>Yes</t>
        </is>
      </c>
      <c r="G76" s="27" t="inlineStr">
        <is>
          <t>Yes</t>
        </is>
      </c>
      <c r="H76" s="27" t="inlineStr">
        <is>
          <t>Yes</t>
        </is>
      </c>
      <c r="I76" s="15" t="inlineStr">
        <is>
          <t>PR Approval: see CodeChange_Tickets Azure_PR_URL if Code Change=Yes</t>
        </is>
      </c>
    </row>
    <row r="77" ht="72" customHeight="1">
      <c r="A77" s="15" t="n">
        <v>31247</v>
      </c>
      <c r="B77" s="15" t="inlineStr">
        <is>
          <t>Q4-2025</t>
        </is>
      </c>
      <c r="C77" s="27" t="inlineStr">
        <is>
          <t>Yes</t>
        </is>
      </c>
      <c r="D77" s="27" t="inlineStr">
        <is>
          <t>Yes</t>
        </is>
      </c>
      <c r="E77" s="27" t="inlineStr">
        <is>
          <t>Yes</t>
        </is>
      </c>
      <c r="F77" s="27" t="inlineStr">
        <is>
          <t>Yes</t>
        </is>
      </c>
      <c r="G77" s="27" t="inlineStr">
        <is>
          <t>Yes</t>
        </is>
      </c>
      <c r="H77" s="27" t="inlineStr">
        <is>
          <t>Yes</t>
        </is>
      </c>
      <c r="I77" s="15" t="inlineStr">
        <is>
          <t>PR Approval: see CodeChange_Tickets Azure_PR_URL if Code Change=Yes</t>
        </is>
      </c>
    </row>
    <row r="78" ht="72" customHeight="1">
      <c r="A78" s="15" t="n">
        <v>27742</v>
      </c>
      <c r="B78" s="15" t="inlineStr">
        <is>
          <t>Q4-2025</t>
        </is>
      </c>
      <c r="C78" s="27" t="inlineStr">
        <is>
          <t>Yes</t>
        </is>
      </c>
      <c r="D78" s="27" t="inlineStr">
        <is>
          <t>Yes</t>
        </is>
      </c>
      <c r="E78" s="27" t="inlineStr">
        <is>
          <t>Yes</t>
        </is>
      </c>
      <c r="F78" s="43" t="inlineStr">
        <is>
          <t>No</t>
        </is>
      </c>
      <c r="G78" s="27" t="inlineStr">
        <is>
          <t>Yes</t>
        </is>
      </c>
      <c r="H78" s="27" t="inlineStr">
        <is>
          <t>Yes</t>
        </is>
      </c>
      <c r="I78" s="15" t="inlineStr">
        <is>
          <t>PR Approval: see CodeChange_Tickets Azure_PR_URL if Code Change=Yes</t>
        </is>
      </c>
    </row>
    <row r="79" ht="72" customHeight="1">
      <c r="A79" s="15" t="n">
        <v>18760</v>
      </c>
      <c r="B79" s="15" t="inlineStr">
        <is>
          <t>Q4-2025</t>
        </is>
      </c>
      <c r="C79" s="27" t="inlineStr">
        <is>
          <t>Yes</t>
        </is>
      </c>
      <c r="D79" s="27" t="inlineStr">
        <is>
          <t>Yes</t>
        </is>
      </c>
      <c r="E79" s="27" t="inlineStr">
        <is>
          <t>Yes</t>
        </is>
      </c>
      <c r="F79" s="27" t="inlineStr">
        <is>
          <t>Yes</t>
        </is>
      </c>
      <c r="G79" s="27" t="inlineStr">
        <is>
          <t>Yes</t>
        </is>
      </c>
      <c r="H79" s="27" t="inlineStr">
        <is>
          <t>Yes</t>
        </is>
      </c>
      <c r="I79" s="15" t="inlineStr">
        <is>
          <t>PR Approval: see CodeChange_Tickets Azure_PR_URL if Code Change=Yes</t>
        </is>
      </c>
    </row>
    <row r="80" ht="72" customHeight="1">
      <c r="A80" s="15" t="n">
        <v>24084</v>
      </c>
      <c r="B80" s="15" t="inlineStr">
        <is>
          <t>Q4-2025</t>
        </is>
      </c>
      <c r="C80" s="27" t="inlineStr">
        <is>
          <t>Yes</t>
        </is>
      </c>
      <c r="D80" s="27" t="inlineStr">
        <is>
          <t>Yes</t>
        </is>
      </c>
      <c r="E80" s="27" t="inlineStr">
        <is>
          <t>Yes</t>
        </is>
      </c>
      <c r="F80" s="27" t="inlineStr">
        <is>
          <t>Yes</t>
        </is>
      </c>
      <c r="G80" s="27" t="inlineStr">
        <is>
          <t>Yes</t>
        </is>
      </c>
      <c r="H80" s="27" t="inlineStr">
        <is>
          <t>Yes</t>
        </is>
      </c>
      <c r="I80" s="15" t="inlineStr">
        <is>
          <t>PR Approval: see CodeChange_Tickets Azure_PR_URL if Code Change=Yes</t>
        </is>
      </c>
    </row>
    <row r="81" ht="72" customHeight="1">
      <c r="A81" s="15" t="n">
        <v>23703</v>
      </c>
      <c r="B81" s="15" t="inlineStr">
        <is>
          <t>Q4-2025</t>
        </is>
      </c>
      <c r="C81" s="27" t="inlineStr">
        <is>
          <t>Yes</t>
        </is>
      </c>
      <c r="D81" s="15" t="inlineStr">
        <is>
          <t>N/A</t>
        </is>
      </c>
      <c r="E81" s="15" t="inlineStr">
        <is>
          <t>N/A</t>
        </is>
      </c>
      <c r="F81" s="27" t="inlineStr">
        <is>
          <t>Yes</t>
        </is>
      </c>
      <c r="G81" s="27" t="inlineStr">
        <is>
          <t>Yes</t>
        </is>
      </c>
      <c r="H81" s="27" t="inlineStr">
        <is>
          <t>Yes</t>
        </is>
      </c>
      <c r="I81" s="15" t="inlineStr">
        <is>
          <t>PR Approval: see CodeChange_Tickets Azure_PR_URL if Code Change=Yes</t>
        </is>
      </c>
    </row>
    <row r="82" ht="72" customHeight="1">
      <c r="A82" s="15" t="n">
        <v>28120</v>
      </c>
      <c r="B82" s="15" t="inlineStr">
        <is>
          <t>Q4-2025</t>
        </is>
      </c>
      <c r="C82" s="27" t="inlineStr">
        <is>
          <t>Yes</t>
        </is>
      </c>
      <c r="D82" s="15" t="inlineStr">
        <is>
          <t>N/A</t>
        </is>
      </c>
      <c r="E82" s="15" t="inlineStr">
        <is>
          <t>N/A</t>
        </is>
      </c>
      <c r="F82" s="43" t="inlineStr">
        <is>
          <t>No</t>
        </is>
      </c>
      <c r="G82" s="27" t="inlineStr">
        <is>
          <t>Yes</t>
        </is>
      </c>
      <c r="H82" s="27" t="inlineStr">
        <is>
          <t>Yes</t>
        </is>
      </c>
      <c r="I82" s="15" t="inlineStr">
        <is>
          <t>PR Approval: see CodeChange_Tickets Azure_PR_URL if Code Change=Yes</t>
        </is>
      </c>
    </row>
    <row r="84" ht="30" customHeight="1">
      <c r="A84" s="15" t="inlineStr">
        <is>
          <t>Ticket hygiene pass rate %</t>
        </is>
      </c>
      <c r="B84" s="15" t="inlineStr">
        <is>
          <t>Achieved/Not Achieved</t>
        </is>
      </c>
      <c r="C84" s="27" t="inlineStr">
        <is>
          <t>Yes</t>
        </is>
      </c>
    </row>
  </sheetData>
  <mergeCells count="1">
    <mergeCell ref="A4:H4"/>
  </mergeCells>
  <hyperlinks>
    <hyperlink ref="A1" location="Utkarsh_OKR_Checklist!A1" display="Utkarsh_OKR_Checklist!A1"/>
    <hyperlink xmlns:r="http://schemas.openxmlformats.org/officeDocument/2006/relationships" ref="G22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2"/>
    <col width="17" customWidth="1" min="3" max="4"/>
    <col width="24" customWidth="1" min="5" max="5"/>
    <col width="14" customWidth="1" min="6" max="6"/>
  </cols>
  <sheetData>
    <row r="1" ht="30" customHeight="1">
      <c r="A1" s="19" t="inlineStr">
        <is>
          <t>Utkarsh_OKR_Checklist!A1</t>
        </is>
      </c>
      <c r="B1" s="19" t="inlineStr">
        <is>
          <t>Utkarsh_OKR_Checklist!A1</t>
        </is>
      </c>
    </row>
    <row r="3" ht="72" customHeight="1">
      <c r="A3" s="60" t="inlineStr">
        <is>
          <t>SLA_CycleDays (Helpdesk equivalent of Release_SLA)</t>
        </is>
      </c>
    </row>
    <row r="4" ht="72" customHeight="1">
      <c r="A4" s="63" t="inlineStr">
        <is>
          <t>No release SLA export. Proxy = average Assign Date → Closure Date cycle days (target &lt;= 45).</t>
        </is>
      </c>
    </row>
    <row r="6" ht="21.95" customHeight="1">
      <c r="A6" s="14" t="inlineStr">
        <is>
          <t>Quarter</t>
        </is>
      </c>
      <c r="B6" s="14" t="inlineStr">
        <is>
          <t>Closed</t>
        </is>
      </c>
      <c r="C6" s="14" t="inlineStr">
        <is>
          <t>Avg Cycle Days</t>
        </is>
      </c>
      <c r="D6" s="14" t="inlineStr">
        <is>
          <t>Max Cycle Days</t>
        </is>
      </c>
      <c r="E6" s="14" t="inlineStr">
        <is>
          <t>Achieved/Not Achieved</t>
        </is>
      </c>
      <c r="F6" s="14" t="inlineStr">
        <is>
          <t>Comments</t>
        </is>
      </c>
    </row>
    <row r="7" ht="62.1" customHeight="1">
      <c r="A7" s="15" t="inlineStr">
        <is>
          <t>Q1-2026</t>
        </is>
      </c>
      <c r="B7" s="15" t="n">
        <v>7</v>
      </c>
      <c r="C7" s="15" t="n">
        <v>33.1</v>
      </c>
      <c r="D7" s="15" t="n">
        <v>54</v>
      </c>
      <c r="E7" s="27" t="inlineStr">
        <is>
          <t>Yes</t>
        </is>
      </c>
      <c r="F7" s="15" t="inlineStr">
        <is>
          <t>Quality Achieved — proxy threshold 45 days</t>
        </is>
      </c>
    </row>
    <row r="8" ht="62.1" customHeight="1">
      <c r="A8" s="15" t="inlineStr">
        <is>
          <t>Q2-2026</t>
        </is>
      </c>
      <c r="B8" s="15" t="n">
        <v>16</v>
      </c>
      <c r="C8" s="15" t="n">
        <v>28.7</v>
      </c>
      <c r="D8" s="15" t="n">
        <v>43</v>
      </c>
      <c r="E8" s="27" t="inlineStr">
        <is>
          <t>Yes</t>
        </is>
      </c>
      <c r="F8" s="15" t="inlineStr">
        <is>
          <t>Quality Achieved — proxy threshold 45 days</t>
        </is>
      </c>
    </row>
    <row r="9" ht="62.1" customHeight="1">
      <c r="A9" s="15" t="inlineStr">
        <is>
          <t>Q3-2025</t>
        </is>
      </c>
      <c r="B9" s="15" t="n">
        <v>11</v>
      </c>
      <c r="C9" s="15" t="n">
        <v>30.9</v>
      </c>
      <c r="D9" s="15" t="n">
        <v>43</v>
      </c>
      <c r="E9" s="27" t="inlineStr">
        <is>
          <t>Yes</t>
        </is>
      </c>
      <c r="F9" s="15" t="inlineStr">
        <is>
          <t>Quality Achieved — proxy threshold 45 days</t>
        </is>
      </c>
    </row>
    <row r="10" ht="62.1" customHeight="1">
      <c r="A10" s="15" t="inlineStr">
        <is>
          <t>Q4-2025</t>
        </is>
      </c>
      <c r="B10" s="15" t="n">
        <v>11</v>
      </c>
      <c r="C10" s="15" t="n">
        <v>29.4</v>
      </c>
      <c r="D10" s="15" t="n">
        <v>44</v>
      </c>
      <c r="E10" s="27" t="inlineStr">
        <is>
          <t>Yes</t>
        </is>
      </c>
      <c r="F10" s="15" t="inlineStr">
        <is>
          <t>Quality Achieved — proxy threshold 45 days</t>
        </is>
      </c>
    </row>
  </sheetData>
  <hyperlinks>
    <hyperlink ref="A1" location="Utkarsh_OKR_Checklist!A1" display="Utkarsh_OKR_Checklist!A1"/>
    <hyperlink ref="B1" location="Utkarsh_OKR_Checklist!A1" display="Utkarsh_OKR_Checklist!A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14" customWidth="1" min="1" max="2"/>
    <col width="21" customWidth="1" min="3" max="3"/>
    <col width="14" customWidth="1" min="4" max="6"/>
  </cols>
  <sheetData>
    <row r="1" ht="30" customHeight="1">
      <c r="A1" s="19" t="inlineStr">
        <is>
          <t>Utkarsh_OKR_Checklist!A1</t>
        </is>
      </c>
      <c r="B1" s="3" t="n"/>
    </row>
    <row r="3" ht="72" customHeight="1">
      <c r="A3" s="34" t="inlineStr">
        <is>
          <t>Customer_Defect_Themes — client-reported external defects</t>
        </is>
      </c>
    </row>
    <row r="4" ht="72" customHeight="1">
      <c r="A4" s="74" t="inlineStr">
        <is>
          <t>No client-reported external defect was recorded in Q3-2025 or Q4-2025 (count = 0). Threshold is &lt;=4 per quarter, so External Bug Count is Achieved (Yes).</t>
        </is>
      </c>
    </row>
    <row r="6" ht="21.95" customHeight="1">
      <c r="A6" s="14" t="inlineStr">
        <is>
          <t>Quarter</t>
        </is>
      </c>
      <c r="B6" s="14" t="inlineStr">
        <is>
          <t>Closed</t>
        </is>
      </c>
      <c r="C6" s="14" t="inlineStr">
        <is>
          <t>Defect-like Themes</t>
        </is>
      </c>
      <c r="D6" s="14" t="inlineStr">
        <is>
          <t>Yes/No</t>
        </is>
      </c>
      <c r="E6" s="14" t="inlineStr">
        <is>
          <t>Ticket Nos.</t>
        </is>
      </c>
      <c r="F6" s="14" t="inlineStr">
        <is>
          <t>Comments</t>
        </is>
      </c>
    </row>
    <row r="7" ht="72" customHeight="1">
      <c r="A7" s="17" t="inlineStr">
        <is>
          <t>Q3-2025</t>
        </is>
      </c>
      <c r="B7" s="17" t="n">
        <v>11</v>
      </c>
      <c r="C7" s="17" t="n">
        <v>0</v>
      </c>
      <c r="D7" s="21" t="inlineStr">
        <is>
          <t>Yes</t>
        </is>
      </c>
      <c r="E7" s="17" t="inlineStr">
        <is>
          <t>-</t>
        </is>
      </c>
      <c r="F7" s="17" t="inlineStr">
        <is>
          <t>Client-reported external defects = 0. Threshold &lt;=4. Achieved.</t>
        </is>
      </c>
    </row>
    <row r="8" ht="72" customHeight="1">
      <c r="A8" s="17" t="inlineStr">
        <is>
          <t>Q4-2025</t>
        </is>
      </c>
      <c r="B8" s="17" t="n">
        <v>11</v>
      </c>
      <c r="C8" s="17" t="n">
        <v>2</v>
      </c>
      <c r="D8" s="21" t="inlineStr">
        <is>
          <t>Yes</t>
        </is>
      </c>
      <c r="E8" s="17" t="inlineStr">
        <is>
          <t>18760, 24084</t>
        </is>
      </c>
      <c r="F8" s="17" t="inlineStr">
        <is>
          <t>Client-reported external defects = 0. Threshold &lt;=4. Achieved.</t>
        </is>
      </c>
    </row>
    <row r="9" ht="30" customHeight="1">
      <c r="A9" s="17" t="inlineStr">
        <is>
          <t>Q1-2026</t>
        </is>
      </c>
      <c r="B9" s="17" t="n">
        <v>7</v>
      </c>
      <c r="C9" s="17" t="n">
        <v>1</v>
      </c>
      <c r="D9" s="27" t="inlineStr">
        <is>
          <t>Yes</t>
        </is>
      </c>
      <c r="E9" s="17" t="inlineStr">
        <is>
          <t>26757</t>
        </is>
      </c>
      <c r="F9" s="17" t="inlineStr">
        <is>
          <t>Within &lt;=4 threshold</t>
        </is>
      </c>
    </row>
    <row r="10" ht="30" customHeight="1">
      <c r="A10" s="17" t="inlineStr">
        <is>
          <t>Q2-2026</t>
        </is>
      </c>
      <c r="B10" s="17" t="n">
        <v>16</v>
      </c>
      <c r="C10" s="17" t="n">
        <v>2</v>
      </c>
      <c r="D10" s="27" t="inlineStr">
        <is>
          <t>Yes</t>
        </is>
      </c>
      <c r="E10" s="17" t="inlineStr">
        <is>
          <t>35294, 8822</t>
        </is>
      </c>
      <c r="F10" s="17" t="inlineStr">
        <is>
          <t>Within &lt;=4 threshold</t>
        </is>
      </c>
    </row>
    <row r="12" ht="30" customHeight="1">
      <c r="A12" s="34" t="inlineStr">
        <is>
          <t>Ticket-level detail</t>
        </is>
      </c>
    </row>
    <row r="13">
      <c r="A13" s="35" t="inlineStr">
        <is>
          <t>Ticket No.</t>
        </is>
      </c>
      <c r="B13" s="35" t="inlineStr">
        <is>
          <t>Quarter</t>
        </is>
      </c>
      <c r="C13" s="35" t="inlineStr">
        <is>
          <t>Status</t>
        </is>
      </c>
      <c r="D13" s="35" t="inlineStr">
        <is>
          <t>Description</t>
        </is>
      </c>
      <c r="E13" s="35" t="inlineStr">
        <is>
          <t>Defect-like?</t>
        </is>
      </c>
    </row>
    <row r="14" ht="30" customHeight="1">
      <c r="A14" s="17" t="n">
        <v>15506</v>
      </c>
      <c r="B14" s="17" t="inlineStr">
        <is>
          <t>Q3-2025</t>
        </is>
      </c>
      <c r="C14" s="17" t="inlineStr">
        <is>
          <t>Closed</t>
        </is>
      </c>
      <c r="D14" s="17" t="inlineStr">
        <is>
          <t>SCAR finance emails</t>
        </is>
      </c>
      <c r="E14" s="43" t="inlineStr">
        <is>
          <t>No</t>
        </is>
      </c>
    </row>
    <row r="15" ht="72" customHeight="1">
      <c r="A15" s="17" t="n">
        <v>19387</v>
      </c>
      <c r="B15" s="17" t="inlineStr">
        <is>
          <t>Q3-2025</t>
        </is>
      </c>
      <c r="C15" s="17" t="inlineStr">
        <is>
          <t>Closed</t>
        </is>
      </c>
      <c r="D15" s="17" t="inlineStr">
        <is>
          <t>Child parts are unchecked in BOMs to Service</t>
        </is>
      </c>
      <c r="E15" s="43" t="inlineStr">
        <is>
          <t>No</t>
        </is>
      </c>
    </row>
    <row r="16" ht="72" customHeight="1">
      <c r="A16" s="17" t="n">
        <v>22609</v>
      </c>
      <c r="B16" s="17" t="inlineStr">
        <is>
          <t>Q3-2025</t>
        </is>
      </c>
      <c r="C16" s="17" t="inlineStr">
        <is>
          <t>Closed</t>
        </is>
      </c>
      <c r="D16" s="17" t="inlineStr">
        <is>
          <t>Change location of scar origin in Scar system</t>
        </is>
      </c>
      <c r="E16" s="43" t="inlineStr">
        <is>
          <t>No</t>
        </is>
      </c>
    </row>
    <row r="17" ht="30" customHeight="1">
      <c r="A17" s="17" t="n">
        <v>23780</v>
      </c>
      <c r="B17" s="17" t="inlineStr">
        <is>
          <t>Q3-2025</t>
        </is>
      </c>
      <c r="C17" s="17" t="inlineStr">
        <is>
          <t>Closed</t>
        </is>
      </c>
      <c r="D17" s="17" t="inlineStr">
        <is>
          <t>Quantity added</t>
        </is>
      </c>
      <c r="E17" s="43" t="inlineStr">
        <is>
          <t>No</t>
        </is>
      </c>
    </row>
    <row r="18" ht="62.1" customHeight="1">
      <c r="A18" s="17" t="n">
        <v>24154</v>
      </c>
      <c r="B18" s="17" t="inlineStr">
        <is>
          <t>Q3-2025</t>
        </is>
      </c>
      <c r="C18" s="17" t="inlineStr">
        <is>
          <t>Closed</t>
        </is>
      </c>
      <c r="D18" s="17" t="inlineStr">
        <is>
          <t>A6039998B997 Structure showing extra Part</t>
        </is>
      </c>
      <c r="E18" s="43" t="inlineStr">
        <is>
          <t>No</t>
        </is>
      </c>
    </row>
    <row r="19">
      <c r="A19" s="17" t="n">
        <v>25881</v>
      </c>
      <c r="B19" s="17" t="inlineStr">
        <is>
          <t>Q3-2025</t>
        </is>
      </c>
      <c r="C19" s="17" t="inlineStr">
        <is>
          <t>RESOLVED</t>
        </is>
      </c>
      <c r="D19" s="17" t="inlineStr">
        <is>
          <t>AE700001-002</t>
        </is>
      </c>
      <c r="E19" s="43" t="inlineStr">
        <is>
          <t>No</t>
        </is>
      </c>
    </row>
    <row r="20" ht="45" customHeight="1">
      <c r="A20" s="17" t="n">
        <v>27117</v>
      </c>
      <c r="B20" s="17" t="inlineStr">
        <is>
          <t>Q3-2025</t>
        </is>
      </c>
      <c r="C20" s="17" t="inlineStr">
        <is>
          <t>RESOLVED</t>
        </is>
      </c>
      <c r="D20" s="17" t="inlineStr">
        <is>
          <t>Duplicate Part Visible in Part List</t>
        </is>
      </c>
      <c r="E20" s="43" t="inlineStr">
        <is>
          <t>No</t>
        </is>
      </c>
    </row>
    <row r="21" ht="60" customHeight="1">
      <c r="A21" s="17" t="n">
        <v>27339</v>
      </c>
      <c r="B21" s="17" t="inlineStr">
        <is>
          <t>Q3-2025</t>
        </is>
      </c>
      <c r="C21" s="17" t="inlineStr">
        <is>
          <t>RESOLVED</t>
        </is>
      </c>
      <c r="D21" s="17" t="inlineStr">
        <is>
          <t>EPC Part Lists have duplicate parts</t>
        </is>
      </c>
      <c r="E21" s="43" t="inlineStr">
        <is>
          <t>No</t>
        </is>
      </c>
    </row>
    <row r="22" ht="45" customHeight="1">
      <c r="A22" s="17" t="n">
        <v>27977</v>
      </c>
      <c r="B22" s="17" t="inlineStr">
        <is>
          <t>Q3-2025</t>
        </is>
      </c>
      <c r="C22" s="17" t="inlineStr">
        <is>
          <t>Closed</t>
        </is>
      </c>
      <c r="D22" s="17" t="inlineStr">
        <is>
          <t>A6610003B125 Part Discrepancy</t>
        </is>
      </c>
      <c r="E22" s="43" t="inlineStr">
        <is>
          <t>No</t>
        </is>
      </c>
    </row>
    <row r="23" ht="72" customHeight="1">
      <c r="A23" s="17" t="n">
        <v>27999</v>
      </c>
      <c r="B23" s="17" t="inlineStr">
        <is>
          <t>Q3-2025</t>
        </is>
      </c>
      <c r="C23" s="17" t="inlineStr">
        <is>
          <t>Resolved</t>
        </is>
      </c>
      <c r="D23" s="17" t="inlineStr">
        <is>
          <t>A3832003E219 Duplicate entries &amp; Discrepancy</t>
        </is>
      </c>
      <c r="E23" s="43" t="inlineStr">
        <is>
          <t>No</t>
        </is>
      </c>
    </row>
    <row r="24" ht="72" customHeight="1">
      <c r="A24" s="17" t="n">
        <v>29010</v>
      </c>
      <c r="B24" s="17" t="inlineStr">
        <is>
          <t>Q3-2025</t>
        </is>
      </c>
      <c r="C24" s="17" t="inlineStr">
        <is>
          <t>Closed</t>
        </is>
      </c>
      <c r="D24" s="17" t="inlineStr">
        <is>
          <t>A7445000E007 Duplicate entries in EPC Parts List</t>
        </is>
      </c>
      <c r="E24" s="43" t="inlineStr">
        <is>
          <t>No</t>
        </is>
      </c>
    </row>
    <row r="25" ht="60" customHeight="1">
      <c r="A25" s="17" t="n">
        <v>16188</v>
      </c>
      <c r="B25" s="17" t="inlineStr">
        <is>
          <t>Q4-2025</t>
        </is>
      </c>
      <c r="C25" s="17" t="inlineStr">
        <is>
          <t>Closed</t>
        </is>
      </c>
      <c r="D25" s="17" t="inlineStr">
        <is>
          <t>Adding structure to aftermarket no parts</t>
        </is>
      </c>
      <c r="E25" s="43" t="inlineStr">
        <is>
          <t>No</t>
        </is>
      </c>
    </row>
    <row r="26" ht="62.1" customHeight="1">
      <c r="A26" s="17" t="n">
        <v>18760</v>
      </c>
      <c r="B26" s="17" t="inlineStr">
        <is>
          <t>Q4-2025</t>
        </is>
      </c>
      <c r="C26" s="17" t="inlineStr">
        <is>
          <t>Closed</t>
        </is>
      </c>
      <c r="D26" s="17" t="inlineStr">
        <is>
          <t>MDM - VIN-BOM Exception tool hanging up #2</t>
        </is>
      </c>
      <c r="E26" s="27" t="inlineStr">
        <is>
          <t>Yes</t>
        </is>
      </c>
    </row>
    <row r="27" ht="45" customHeight="1">
      <c r="A27" s="17" t="n">
        <v>23721</v>
      </c>
      <c r="B27" s="17" t="inlineStr">
        <is>
          <t>Q4-2025</t>
        </is>
      </c>
      <c r="C27" s="17" t="inlineStr">
        <is>
          <t>RESOLVED</t>
        </is>
      </c>
      <c r="D27" s="17" t="inlineStr">
        <is>
          <t>MDM - BOMs to Service seq issue</t>
        </is>
      </c>
      <c r="E27" s="43" t="inlineStr">
        <is>
          <t>No</t>
        </is>
      </c>
    </row>
    <row r="28" ht="45" customHeight="1">
      <c r="A28" s="17" t="n">
        <v>24084</v>
      </c>
      <c r="B28" s="17" t="inlineStr">
        <is>
          <t>Q4-2025</t>
        </is>
      </c>
      <c r="C28" s="17" t="inlineStr">
        <is>
          <t>Closed</t>
        </is>
      </c>
      <c r="D28" s="17" t="inlineStr">
        <is>
          <t>MDM - BOMs to service error message</t>
        </is>
      </c>
      <c r="E28" s="27" t="inlineStr">
        <is>
          <t>Yes</t>
        </is>
      </c>
    </row>
    <row r="29" ht="72" customHeight="1">
      <c r="A29" s="17" t="n">
        <v>27250</v>
      </c>
      <c r="B29" s="17" t="inlineStr">
        <is>
          <t>Q4-2025</t>
        </is>
      </c>
      <c r="C29" s="17" t="inlineStr">
        <is>
          <t>Closed</t>
        </is>
      </c>
      <c r="D29" s="17" t="inlineStr">
        <is>
          <t>When VIN is put in EPC BOM does not shwo breakodwn (without VIN it does show breakdown) SPE0005262</t>
        </is>
      </c>
      <c r="E29" s="43" t="inlineStr">
        <is>
          <t>No</t>
        </is>
      </c>
    </row>
    <row r="30" ht="45" customHeight="1">
      <c r="A30" s="17" t="n">
        <v>27742</v>
      </c>
      <c r="B30" s="17" t="inlineStr">
        <is>
          <t>Q4-2025</t>
        </is>
      </c>
      <c r="C30" s="17" t="inlineStr">
        <is>
          <t>Closed</t>
        </is>
      </c>
      <c r="D30" s="17" t="inlineStr">
        <is>
          <t>Part Lists have duplicate parts</t>
        </is>
      </c>
      <c r="E30" s="43" t="inlineStr">
        <is>
          <t>No</t>
        </is>
      </c>
    </row>
    <row r="31" ht="30" customHeight="1">
      <c r="A31" s="17" t="n">
        <v>27857</v>
      </c>
      <c r="B31" s="17" t="inlineStr">
        <is>
          <t>Q4-2025</t>
        </is>
      </c>
      <c r="C31" s="17" t="inlineStr">
        <is>
          <t>Resolved</t>
        </is>
      </c>
      <c r="D31" s="17" t="inlineStr">
        <is>
          <t>EPCs require part lists</t>
        </is>
      </c>
      <c r="E31" s="43" t="inlineStr">
        <is>
          <t>No</t>
        </is>
      </c>
    </row>
    <row r="32" ht="72" customHeight="1">
      <c r="A32" s="17" t="n">
        <v>28049</v>
      </c>
      <c r="B32" s="17" t="inlineStr">
        <is>
          <t>Q4-2025</t>
        </is>
      </c>
      <c r="C32" s="17" t="inlineStr">
        <is>
          <t>Closed</t>
        </is>
      </c>
      <c r="D32" s="17" t="inlineStr">
        <is>
          <t>MDM - Copy Structure / BOMs to Service Issue</t>
        </is>
      </c>
      <c r="E32" s="43" t="inlineStr">
        <is>
          <t>No</t>
        </is>
      </c>
    </row>
    <row r="33" ht="45" customHeight="1">
      <c r="A33" s="17" t="n">
        <v>30165</v>
      </c>
      <c r="B33" s="17" t="inlineStr">
        <is>
          <t>Q4-2025</t>
        </is>
      </c>
      <c r="C33" s="17" t="inlineStr">
        <is>
          <t>Closed</t>
        </is>
      </c>
      <c r="D33" s="17" t="inlineStr">
        <is>
          <t>Tech Modernization for EPC</t>
        </is>
      </c>
      <c r="E33" s="43" t="inlineStr">
        <is>
          <t>No</t>
        </is>
      </c>
    </row>
    <row r="34">
      <c r="A34" s="17" t="n">
        <v>31247</v>
      </c>
      <c r="B34" s="17" t="inlineStr">
        <is>
          <t>Q4-2025</t>
        </is>
      </c>
      <c r="C34" s="17" t="inlineStr">
        <is>
          <t>Closed</t>
        </is>
      </c>
      <c r="D34" s="17" t="inlineStr">
        <is>
          <t>VMRS Tab</t>
        </is>
      </c>
      <c r="E34" s="43" t="inlineStr">
        <is>
          <t>No</t>
        </is>
      </c>
    </row>
    <row r="35" ht="30" customHeight="1">
      <c r="A35" s="17" t="n">
        <v>7612</v>
      </c>
      <c r="B35" s="17" t="inlineStr">
        <is>
          <t>Q4-2025</t>
        </is>
      </c>
      <c r="C35" s="17" t="inlineStr">
        <is>
          <t>Closed</t>
        </is>
      </c>
      <c r="D35" s="17" t="inlineStr">
        <is>
          <t>MDM question</t>
        </is>
      </c>
      <c r="E35" s="43" t="inlineStr">
        <is>
          <t>No</t>
        </is>
      </c>
    </row>
    <row r="36" ht="30" customHeight="1">
      <c r="A36" s="17" t="n">
        <v>18851</v>
      </c>
      <c r="B36" s="17" t="inlineStr">
        <is>
          <t>Q1-2026</t>
        </is>
      </c>
      <c r="C36" s="17" t="inlineStr">
        <is>
          <t>Closed</t>
        </is>
      </c>
      <c r="D36" s="17" t="inlineStr">
        <is>
          <t>Supplier Reports</t>
        </is>
      </c>
      <c r="E36" s="43" t="inlineStr">
        <is>
          <t>No</t>
        </is>
      </c>
    </row>
    <row r="37" ht="60" customHeight="1">
      <c r="A37" s="17" t="n">
        <v>24196</v>
      </c>
      <c r="B37" s="17" t="inlineStr">
        <is>
          <t>Q1-2026</t>
        </is>
      </c>
      <c r="C37" s="17" t="inlineStr">
        <is>
          <t>Closed</t>
        </is>
      </c>
      <c r="D37" s="17" t="inlineStr">
        <is>
          <t>EPC - Replaced by part shows up blank</t>
        </is>
      </c>
      <c r="E37" s="43" t="inlineStr">
        <is>
          <t>No</t>
        </is>
      </c>
    </row>
    <row r="38" ht="45" customHeight="1">
      <c r="A38" s="17" t="n">
        <v>26757</v>
      </c>
      <c r="B38" s="17" t="inlineStr">
        <is>
          <t>Q1-2026</t>
        </is>
      </c>
      <c r="C38" s="17" t="inlineStr">
        <is>
          <t>RESOLVED</t>
        </is>
      </c>
      <c r="D38" s="17" t="inlineStr">
        <is>
          <t>Incorrect quantity on Part List Page</t>
        </is>
      </c>
      <c r="E38" s="27" t="inlineStr">
        <is>
          <t>Yes</t>
        </is>
      </c>
    </row>
    <row r="39" ht="60" customHeight="1">
      <c r="A39" s="17" t="n">
        <v>27879</v>
      </c>
      <c r="B39" s="17" t="inlineStr">
        <is>
          <t>Q1-2026</t>
        </is>
      </c>
      <c r="C39" s="17" t="inlineStr">
        <is>
          <t>Closed</t>
        </is>
      </c>
      <c r="D39" s="17" t="inlineStr">
        <is>
          <t>BOMs to Service missing parent EPL</t>
        </is>
      </c>
      <c r="E39" s="43" t="inlineStr">
        <is>
          <t>No</t>
        </is>
      </c>
    </row>
    <row r="40" ht="45" customHeight="1">
      <c r="A40" s="17" t="n">
        <v>28823</v>
      </c>
      <c r="B40" s="17" t="inlineStr">
        <is>
          <t>Q1-2026</t>
        </is>
      </c>
      <c r="C40" s="17" t="inlineStr">
        <is>
          <t>Closed</t>
        </is>
      </c>
      <c r="D40" s="17" t="inlineStr">
        <is>
          <t>MDM - BOMs to Service quantity issue</t>
        </is>
      </c>
      <c r="E40" s="43" t="inlineStr">
        <is>
          <t>No</t>
        </is>
      </c>
    </row>
    <row r="41" ht="72" customHeight="1">
      <c r="A41" s="17" t="n">
        <v>32104</v>
      </c>
      <c r="B41" s="17" t="inlineStr">
        <is>
          <t>Q1-2026</t>
        </is>
      </c>
      <c r="C41" s="17" t="inlineStr">
        <is>
          <t>Closed</t>
        </is>
      </c>
      <c r="D41" s="17" t="inlineStr">
        <is>
          <t>EPC - Replaced by part showing when it shouldn't</t>
        </is>
      </c>
      <c r="E41" s="43" t="inlineStr">
        <is>
          <t>No</t>
        </is>
      </c>
    </row>
    <row r="42" ht="30" customHeight="1">
      <c r="A42" s="17" t="n">
        <v>33371</v>
      </c>
      <c r="B42" s="17" t="inlineStr">
        <is>
          <t>Q1-2026</t>
        </is>
      </c>
      <c r="C42" s="17" t="inlineStr">
        <is>
          <t>Closed</t>
        </is>
      </c>
      <c r="D42" s="17" t="inlineStr">
        <is>
          <t>EPC-Enhancement</t>
        </is>
      </c>
      <c r="E42" s="43" t="inlineStr">
        <is>
          <t>No</t>
        </is>
      </c>
    </row>
    <row r="43" ht="30" customHeight="1">
      <c r="A43" s="17" t="n">
        <v>16609</v>
      </c>
      <c r="B43" s="17" t="inlineStr">
        <is>
          <t>Q2-2026</t>
        </is>
      </c>
      <c r="C43" s="17" t="inlineStr">
        <is>
          <t>Closed</t>
        </is>
      </c>
      <c r="D43" s="17" t="inlineStr">
        <is>
          <t>Multiple Parts AE025500E006</t>
        </is>
      </c>
      <c r="E43" s="43" t="inlineStr">
        <is>
          <t>No</t>
        </is>
      </c>
    </row>
    <row r="44" ht="45" customHeight="1">
      <c r="A44" s="17" t="n">
        <v>19454</v>
      </c>
      <c r="B44" s="17" t="inlineStr">
        <is>
          <t>Q2-2026</t>
        </is>
      </c>
      <c r="C44" s="17" t="inlineStr">
        <is>
          <t>Closed</t>
        </is>
      </c>
      <c r="D44" s="17" t="inlineStr">
        <is>
          <t>A3701022B002 BOM EPC ISSUE</t>
        </is>
      </c>
      <c r="E44" s="43" t="inlineStr">
        <is>
          <t>No</t>
        </is>
      </c>
    </row>
    <row r="45" ht="60" customHeight="1">
      <c r="A45" s="17" t="n">
        <v>23410</v>
      </c>
      <c r="B45" s="17" t="inlineStr">
        <is>
          <t>Q2-2026</t>
        </is>
      </c>
      <c r="C45" s="17" t="inlineStr">
        <is>
          <t>RESOLVED</t>
        </is>
      </c>
      <c r="D45" s="17" t="inlineStr">
        <is>
          <t>MDM - BOMs to service show duplicates</t>
        </is>
      </c>
      <c r="E45" s="43" t="inlineStr">
        <is>
          <t>No</t>
        </is>
      </c>
    </row>
    <row r="46" ht="45" customHeight="1">
      <c r="A46" s="17" t="n">
        <v>26664</v>
      </c>
      <c r="B46" s="17" t="inlineStr">
        <is>
          <t>Q2-2026</t>
        </is>
      </c>
      <c r="C46" s="17" t="inlineStr">
        <is>
          <t>RESOLVED</t>
        </is>
      </c>
      <c r="D46" s="17" t="inlineStr">
        <is>
          <t>3 More Boms with Duplicate Parts</t>
        </is>
      </c>
      <c r="E46" s="43" t="inlineStr">
        <is>
          <t>No</t>
        </is>
      </c>
    </row>
    <row r="47" ht="30" customHeight="1">
      <c r="A47" s="17" t="n">
        <v>27702</v>
      </c>
      <c r="B47" s="17" t="inlineStr">
        <is>
          <t>Q2-2026</t>
        </is>
      </c>
      <c r="C47" s="17" t="inlineStr">
        <is>
          <t>Closed</t>
        </is>
      </c>
      <c r="D47" s="17" t="inlineStr">
        <is>
          <t>EPC Parts List incomplete</t>
        </is>
      </c>
      <c r="E47" s="43" t="inlineStr">
        <is>
          <t>No</t>
        </is>
      </c>
    </row>
    <row r="48" ht="45" customHeight="1">
      <c r="A48" s="17" t="n">
        <v>30159</v>
      </c>
      <c r="B48" s="17" t="inlineStr">
        <is>
          <t>Q2-2026</t>
        </is>
      </c>
      <c r="C48" s="17" t="inlineStr">
        <is>
          <t>Closed</t>
        </is>
      </c>
      <c r="D48" s="17" t="inlineStr">
        <is>
          <t>A8722500E002 EPC Parts list incomplete</t>
        </is>
      </c>
      <c r="E48" s="43" t="inlineStr">
        <is>
          <t>No</t>
        </is>
      </c>
    </row>
    <row r="49" ht="45" customHeight="1">
      <c r="A49" s="17" t="n">
        <v>31307</v>
      </c>
      <c r="B49" s="17" t="inlineStr">
        <is>
          <t>Q2-2026</t>
        </is>
      </c>
      <c r="C49" s="17" t="inlineStr">
        <is>
          <t>Closed</t>
        </is>
      </c>
      <c r="D49" s="17" t="inlineStr">
        <is>
          <t>Latest rev/seq not showing in EPC</t>
        </is>
      </c>
      <c r="E49" s="43" t="inlineStr">
        <is>
          <t>No</t>
        </is>
      </c>
    </row>
    <row r="50">
      <c r="A50" s="17" t="n">
        <v>33631</v>
      </c>
      <c r="B50" s="17" t="inlineStr">
        <is>
          <t>Q2-2026</t>
        </is>
      </c>
      <c r="C50" s="17" t="inlineStr">
        <is>
          <t>Closed</t>
        </is>
      </c>
      <c r="D50" s="17" t="inlineStr">
        <is>
          <t>Vin. 247741</t>
        </is>
      </c>
      <c r="E50" s="43" t="inlineStr">
        <is>
          <t>No</t>
        </is>
      </c>
    </row>
    <row r="51" ht="30" customHeight="1">
      <c r="A51" s="17" t="n">
        <v>35294</v>
      </c>
      <c r="B51" s="17" t="inlineStr">
        <is>
          <t>Q2-2026</t>
        </is>
      </c>
      <c r="C51" s="17" t="inlineStr">
        <is>
          <t>Closed</t>
        </is>
      </c>
      <c r="D51" s="17" t="inlineStr">
        <is>
          <t>EPC - Wrong model year</t>
        </is>
      </c>
      <c r="E51" s="27" t="inlineStr">
        <is>
          <t>Yes</t>
        </is>
      </c>
    </row>
    <row r="52" ht="45" customHeight="1">
      <c r="A52" s="17" t="n">
        <v>3575</v>
      </c>
      <c r="B52" s="17" t="inlineStr">
        <is>
          <t>Q2-2026</t>
        </is>
      </c>
      <c r="C52" s="17" t="inlineStr">
        <is>
          <t>Closed</t>
        </is>
      </c>
      <c r="D52" s="17" t="inlineStr">
        <is>
          <t>Supplier Report Card - No Updates</t>
        </is>
      </c>
      <c r="E52" s="43" t="inlineStr">
        <is>
          <t>No</t>
        </is>
      </c>
    </row>
    <row r="53" ht="72" customHeight="1">
      <c r="A53" s="17" t="n">
        <v>36560</v>
      </c>
      <c r="B53" s="17" t="inlineStr">
        <is>
          <t>Q2-2026</t>
        </is>
      </c>
      <c r="C53" s="17" t="inlineStr">
        <is>
          <t>Closed</t>
        </is>
      </c>
      <c r="D53" s="17" t="inlineStr">
        <is>
          <t>Autocar EPC is making unnecessary calls to get part price &amp; inventory</t>
        </is>
      </c>
      <c r="E53" s="43" t="inlineStr">
        <is>
          <t>No</t>
        </is>
      </c>
    </row>
    <row r="54" ht="45" customHeight="1">
      <c r="A54" s="17" t="n">
        <v>38145</v>
      </c>
      <c r="B54" s="17" t="inlineStr">
        <is>
          <t>Q2-2026</t>
        </is>
      </c>
      <c r="C54" s="17" t="inlineStr">
        <is>
          <t>Closed</t>
        </is>
      </c>
      <c r="D54" s="17" t="inlineStr">
        <is>
          <t>A7352001E129 Part Discrepancy</t>
        </is>
      </c>
      <c r="E54" s="43" t="inlineStr">
        <is>
          <t>No</t>
        </is>
      </c>
    </row>
    <row r="55" ht="62.1" customHeight="1">
      <c r="A55" s="17" t="n">
        <v>38146</v>
      </c>
      <c r="B55" s="17" t="inlineStr">
        <is>
          <t>Q2-2026</t>
        </is>
      </c>
      <c r="C55" s="17" t="inlineStr">
        <is>
          <t>Closed</t>
        </is>
      </c>
      <c r="D55" s="17" t="inlineStr">
        <is>
          <t>A87B0001E001 Update EPC website part list</t>
        </is>
      </c>
      <c r="E55" s="43" t="inlineStr">
        <is>
          <t>No</t>
        </is>
      </c>
    </row>
    <row r="56" ht="30" customHeight="1">
      <c r="A56" s="17" t="n">
        <v>39384</v>
      </c>
      <c r="B56" s="17" t="inlineStr">
        <is>
          <t>Q2-2026</t>
        </is>
      </c>
      <c r="C56" s="17" t="inlineStr">
        <is>
          <t>Closed</t>
        </is>
      </c>
      <c r="D56" s="17" t="inlineStr">
        <is>
          <t>Service EPC slow</t>
        </is>
      </c>
      <c r="E56" s="43" t="inlineStr">
        <is>
          <t>No</t>
        </is>
      </c>
    </row>
    <row r="57" ht="45" customHeight="1">
      <c r="A57" s="17" t="n">
        <v>41202</v>
      </c>
      <c r="B57" s="17" t="inlineStr">
        <is>
          <t>Q2-2026</t>
        </is>
      </c>
      <c r="C57" s="17" t="inlineStr">
        <is>
          <t>Closed</t>
        </is>
      </c>
      <c r="D57" s="17" t="inlineStr">
        <is>
          <t>Unable to Check Out EPC-513_5100E001</t>
        </is>
      </c>
      <c r="E57" s="43" t="inlineStr">
        <is>
          <t>No</t>
        </is>
      </c>
    </row>
    <row r="58" ht="72" customHeight="1">
      <c r="A58" s="17" t="n">
        <v>8822</v>
      </c>
      <c r="B58" s="17" t="inlineStr">
        <is>
          <t>Q2-2026</t>
        </is>
      </c>
      <c r="C58" s="17" t="inlineStr">
        <is>
          <t>Closed</t>
        </is>
      </c>
      <c r="D58" s="17" t="inlineStr">
        <is>
          <t>Quality SCAR Credit Memo Request Error / Brian Lowe - Help</t>
        </is>
      </c>
      <c r="E58" s="27" t="inlineStr">
        <is>
          <t>Yes</t>
        </is>
      </c>
    </row>
  </sheetData>
  <hyperlinks>
    <hyperlink ref="A1" location="Utkarsh_OKR_Checklist!A1" display="Utkarsh_OKR_Checklist!A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2"/>
    <col width="21" customWidth="1" min="3" max="3"/>
    <col width="14" customWidth="1" min="4" max="6"/>
  </cols>
  <sheetData>
    <row r="1" ht="30" customHeight="1">
      <c r="A1" s="19" t="inlineStr">
        <is>
          <t>Utkarsh_OKR_Checklist!A1</t>
        </is>
      </c>
      <c r="B1" s="3" t="n"/>
    </row>
    <row r="3" ht="72" customHeight="1">
      <c r="A3" s="34" t="inlineStr">
        <is>
          <t>Rework_Reopen_Proxy (no reopen field in Helpdesk export)</t>
        </is>
      </c>
    </row>
    <row r="4" ht="72" customHeight="1">
      <c r="A4" s="63" t="inlineStr">
        <is>
          <t>Proxy = reopen/rework keywords in ticket description or status (Helpdesk export has no dedicated reopen field). OnHold / In-UAT / Approver are wait-states and are NOT counted as rework. Target rate &lt;5% of quarter tickets.</t>
        </is>
      </c>
    </row>
    <row r="6" ht="21.95" customHeight="1">
      <c r="A6" s="14" t="inlineStr">
        <is>
          <t>Quarter</t>
        </is>
      </c>
      <c r="B6" s="14" t="inlineStr">
        <is>
          <t>Tickets</t>
        </is>
      </c>
      <c r="C6" s="14" t="inlineStr">
        <is>
          <t>Rework Proxy Count</t>
        </is>
      </c>
      <c r="D6" s="14" t="inlineStr">
        <is>
          <t>Rate %</t>
        </is>
      </c>
      <c r="E6" s="14" t="inlineStr">
        <is>
          <t>Yes/No</t>
        </is>
      </c>
      <c r="F6" s="14" t="inlineStr">
        <is>
          <t>Ticket Nos.</t>
        </is>
      </c>
    </row>
    <row r="7">
      <c r="A7" s="17" t="inlineStr">
        <is>
          <t>Q3-2025</t>
        </is>
      </c>
      <c r="B7" s="17" t="n">
        <v>13</v>
      </c>
      <c r="C7" s="17" t="n">
        <v>0</v>
      </c>
      <c r="D7" s="17" t="n">
        <v>0</v>
      </c>
      <c r="E7" s="27" t="inlineStr">
        <is>
          <t>Yes</t>
        </is>
      </c>
      <c r="F7" s="17" t="inlineStr">
        <is>
          <t>-</t>
        </is>
      </c>
    </row>
    <row r="8">
      <c r="A8" s="17" t="inlineStr">
        <is>
          <t>Q4-2025</t>
        </is>
      </c>
      <c r="B8" s="17" t="n">
        <v>13</v>
      </c>
      <c r="C8" s="17" t="n">
        <v>0</v>
      </c>
      <c r="D8" s="17" t="n">
        <v>0</v>
      </c>
      <c r="E8" s="27" t="inlineStr">
        <is>
          <t>Yes</t>
        </is>
      </c>
      <c r="F8" s="17" t="inlineStr">
        <is>
          <t>-</t>
        </is>
      </c>
    </row>
    <row r="9">
      <c r="A9" s="17" t="inlineStr">
        <is>
          <t>Q1-2026</t>
        </is>
      </c>
      <c r="B9" s="17" t="n">
        <v>8</v>
      </c>
      <c r="C9" s="17" t="n">
        <v>0</v>
      </c>
      <c r="D9" s="17" t="n">
        <v>0</v>
      </c>
      <c r="E9" s="27" t="inlineStr">
        <is>
          <t>Yes</t>
        </is>
      </c>
      <c r="F9" s="17" t="inlineStr">
        <is>
          <t>-</t>
        </is>
      </c>
    </row>
    <row r="10">
      <c r="A10" s="17" t="inlineStr">
        <is>
          <t>Q2-2026</t>
        </is>
      </c>
      <c r="B10" s="17" t="n">
        <v>17</v>
      </c>
      <c r="C10" s="17" t="n">
        <v>0</v>
      </c>
      <c r="D10" s="17" t="n">
        <v>0</v>
      </c>
      <c r="E10" s="27" t="inlineStr">
        <is>
          <t>Yes</t>
        </is>
      </c>
      <c r="F10" s="17" t="inlineStr">
        <is>
          <t>-</t>
        </is>
      </c>
    </row>
  </sheetData>
  <hyperlinks>
    <hyperlink ref="A1" location="Utkarsh_OKR_Checklist!A1" display="Utkarsh_OKR_Checklist!A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60"/>
  <sheetViews>
    <sheetView topLeftCell="A3" workbookViewId="0">
      <selection activeCell="A13" sqref="A13:A14"/>
    </sheetView>
  </sheetViews>
  <sheetFormatPr baseColWidth="8" defaultRowHeight="15"/>
  <cols>
    <col width="14" customWidth="1" min="1" max="5"/>
    <col width="15" customWidth="1" min="6" max="6"/>
    <col width="14" customWidth="1" min="7" max="9"/>
    <col width="21" customWidth="1" min="10" max="10"/>
    <col width="20" customWidth="1" min="11" max="11"/>
    <col width="14" customWidth="1" min="12" max="13"/>
  </cols>
  <sheetData>
    <row r="1" ht="30" customHeight="1">
      <c r="A1" s="19" t="inlineStr">
        <is>
          <t>Utkarsh_OKR_Checklist!A1</t>
        </is>
      </c>
      <c r="B1" s="3" t="n"/>
    </row>
    <row r="3" ht="72" customHeight="1">
      <c r="A3" s="60" t="inlineStr">
        <is>
          <t>Tickets_Master_Utkarsh — full Helpdesk dump (correlation source of truth)</t>
        </is>
      </c>
    </row>
    <row r="5" ht="21.95" customHeight="1">
      <c r="A5" s="14" t="inlineStr">
        <is>
          <t>Ticket No.</t>
        </is>
      </c>
      <c r="B5" s="14" t="inlineStr">
        <is>
          <t>Description</t>
        </is>
      </c>
      <c r="C5" s="14" t="inlineStr">
        <is>
          <t>Status</t>
        </is>
      </c>
      <c r="D5" s="14" t="inlineStr">
        <is>
          <t>Month</t>
        </is>
      </c>
      <c r="E5" s="14" t="inlineStr">
        <is>
          <t>Assign Date</t>
        </is>
      </c>
      <c r="F5" s="14" t="inlineStr">
        <is>
          <t>Closure Date</t>
        </is>
      </c>
      <c r="G5" s="14" t="inlineStr">
        <is>
          <t>Owner</t>
        </is>
      </c>
      <c r="H5" s="14" t="inlineStr">
        <is>
          <t>SP Change</t>
        </is>
      </c>
      <c r="I5" s="14" t="inlineStr">
        <is>
          <t>Code Change</t>
        </is>
      </c>
      <c r="J5" s="14" t="inlineStr">
        <is>
          <t>Code Lines Changed</t>
        </is>
      </c>
      <c r="K5" s="14" t="inlineStr">
        <is>
          <t>SQL Lines Changed</t>
        </is>
      </c>
      <c r="L5" s="14" t="inlineStr">
        <is>
          <t>Quarter</t>
        </is>
      </c>
      <c r="M5" s="14" t="inlineStr">
        <is>
          <t>Cycle Days</t>
        </is>
      </c>
    </row>
    <row r="6" ht="30" customHeight="1">
      <c r="A6" s="15" t="n">
        <v>18851</v>
      </c>
      <c r="B6" s="15" t="inlineStr">
        <is>
          <t>Supplier Reports</t>
        </is>
      </c>
      <c r="C6" s="15" t="inlineStr">
        <is>
          <t>Closed</t>
        </is>
      </c>
      <c r="D6" s="44" t="n">
        <v>46082</v>
      </c>
      <c r="E6" s="41" t="n">
        <v>46064</v>
      </c>
      <c r="F6" s="41" t="n">
        <v>46099</v>
      </c>
      <c r="G6" s="15" t="inlineStr">
        <is>
          <t>Utkarsh</t>
        </is>
      </c>
      <c r="H6" s="2" t="n"/>
      <c r="I6" s="15" t="inlineStr">
        <is>
          <t>yes</t>
        </is>
      </c>
      <c r="J6" s="15" t="n">
        <v>92</v>
      </c>
      <c r="K6" s="2" t="n"/>
      <c r="L6" s="15" t="inlineStr">
        <is>
          <t>Q1-2026</t>
        </is>
      </c>
      <c r="M6" s="15" t="n">
        <v>35</v>
      </c>
    </row>
    <row r="7" ht="72" customHeight="1">
      <c r="A7" s="15" t="n">
        <v>21546</v>
      </c>
      <c r="B7" s="15" t="inlineStr">
        <is>
          <t>Reporting - PRAC Parts Master - New Parts Loaded</t>
        </is>
      </c>
      <c r="C7" s="15" t="inlineStr">
        <is>
          <t>InProgress</t>
        </is>
      </c>
      <c r="D7" s="44" t="n">
        <v>46082</v>
      </c>
      <c r="E7" s="41" t="n">
        <v>46070</v>
      </c>
      <c r="F7" s="2" t="n"/>
      <c r="G7" s="15" t="inlineStr">
        <is>
          <t>Utkarsh</t>
        </is>
      </c>
      <c r="H7" s="15" t="inlineStr">
        <is>
          <t>yes</t>
        </is>
      </c>
      <c r="I7" s="2" t="n"/>
      <c r="J7" s="2" t="n"/>
      <c r="K7" s="15" t="n">
        <v>32</v>
      </c>
      <c r="L7" s="15" t="inlineStr">
        <is>
          <t>Q1-2026</t>
        </is>
      </c>
      <c r="M7" s="2" t="n"/>
    </row>
    <row r="8" ht="60" customHeight="1">
      <c r="A8" s="15" t="n">
        <v>24196</v>
      </c>
      <c r="B8" s="15" t="inlineStr">
        <is>
          <t>EPC - Replaced by part shows up blank</t>
        </is>
      </c>
      <c r="C8" s="15" t="inlineStr">
        <is>
          <t>Closed</t>
        </is>
      </c>
      <c r="D8" s="44" t="n">
        <v>46054</v>
      </c>
      <c r="E8" s="41" t="n">
        <v>46032</v>
      </c>
      <c r="F8" s="41" t="n">
        <v>46072</v>
      </c>
      <c r="G8" s="15" t="inlineStr">
        <is>
          <t>Utkarsh</t>
        </is>
      </c>
      <c r="H8" s="2" t="n"/>
      <c r="I8" s="15" t="inlineStr">
        <is>
          <t>yes</t>
        </is>
      </c>
      <c r="J8" s="15" t="n">
        <v>95</v>
      </c>
      <c r="K8" s="2" t="n"/>
      <c r="L8" s="15" t="inlineStr">
        <is>
          <t>Q1-2026</t>
        </is>
      </c>
      <c r="M8" s="15" t="n">
        <v>40</v>
      </c>
    </row>
    <row r="9" ht="45" customHeight="1">
      <c r="A9" s="15" t="n">
        <v>26757</v>
      </c>
      <c r="B9" s="15" t="inlineStr">
        <is>
          <t>Incorrect quantity on Part List Page</t>
        </is>
      </c>
      <c r="C9" s="15" t="inlineStr">
        <is>
          <t>RESOLVED</t>
        </is>
      </c>
      <c r="D9" s="44" t="n">
        <v>46082</v>
      </c>
      <c r="E9" s="41" t="n">
        <v>46056</v>
      </c>
      <c r="F9" s="41" t="n">
        <v>46110</v>
      </c>
      <c r="G9" s="15" t="inlineStr">
        <is>
          <t>Utkarsh</t>
        </is>
      </c>
      <c r="H9" s="15" t="inlineStr">
        <is>
          <t>yes</t>
        </is>
      </c>
      <c r="I9" s="2" t="n"/>
      <c r="J9" s="2" t="n"/>
      <c r="K9" s="15" t="n">
        <v>26</v>
      </c>
      <c r="L9" s="15" t="inlineStr">
        <is>
          <t>Q1-2026</t>
        </is>
      </c>
      <c r="M9" s="15" t="n">
        <v>54</v>
      </c>
    </row>
    <row r="10" ht="60" customHeight="1">
      <c r="A10" s="15" t="n">
        <v>27879</v>
      </c>
      <c r="B10" s="15" t="inlineStr">
        <is>
          <t>BOMs to Service missing parent EPL</t>
        </is>
      </c>
      <c r="C10" s="15" t="inlineStr">
        <is>
          <t>Closed</t>
        </is>
      </c>
      <c r="D10" s="44" t="n">
        <v>46023</v>
      </c>
      <c r="E10" s="41" t="n">
        <v>46019</v>
      </c>
      <c r="F10" s="41" t="n">
        <v>46031</v>
      </c>
      <c r="G10" s="15" t="inlineStr">
        <is>
          <t>Utkarsh</t>
        </is>
      </c>
      <c r="H10" s="15" t="inlineStr">
        <is>
          <t>yes</t>
        </is>
      </c>
      <c r="I10" s="2" t="n"/>
      <c r="J10" s="2" t="n"/>
      <c r="K10" s="15" t="n">
        <v>18</v>
      </c>
      <c r="L10" s="15" t="inlineStr">
        <is>
          <t>Q1-2026</t>
        </is>
      </c>
      <c r="M10" s="15" t="n">
        <v>12</v>
      </c>
    </row>
    <row r="11" ht="45" customHeight="1">
      <c r="A11" s="15" t="n">
        <v>28823</v>
      </c>
      <c r="B11" s="15" t="inlineStr">
        <is>
          <t>MDM - BOMs to Service quantity issue</t>
        </is>
      </c>
      <c r="C11" s="15" t="inlineStr">
        <is>
          <t>Closed</t>
        </is>
      </c>
      <c r="D11" s="44" t="n">
        <v>46054</v>
      </c>
      <c r="E11" s="41" t="n">
        <v>46041</v>
      </c>
      <c r="F11" s="41" t="n">
        <v>46075</v>
      </c>
      <c r="G11" s="15" t="inlineStr">
        <is>
          <t>Utkarsh</t>
        </is>
      </c>
      <c r="H11" s="2" t="n"/>
      <c r="I11" s="15" t="inlineStr">
        <is>
          <t>yes</t>
        </is>
      </c>
      <c r="J11" s="15" t="n">
        <v>97</v>
      </c>
      <c r="K11" s="2" t="n"/>
      <c r="L11" s="15" t="inlineStr">
        <is>
          <t>Q1-2026</t>
        </is>
      </c>
      <c r="M11" s="15" t="n">
        <v>34</v>
      </c>
    </row>
    <row r="12" ht="72" customHeight="1">
      <c r="A12" s="15" t="n">
        <v>32104</v>
      </c>
      <c r="B12" s="15" t="inlineStr">
        <is>
          <t>EPC - Replaced by part showing when it shouldn't</t>
        </is>
      </c>
      <c r="C12" s="15" t="inlineStr">
        <is>
          <t>Closed</t>
        </is>
      </c>
      <c r="D12" s="44" t="n">
        <v>46054</v>
      </c>
      <c r="E12" s="41" t="n">
        <v>46049</v>
      </c>
      <c r="F12" s="41" t="n">
        <v>46077</v>
      </c>
      <c r="G12" s="15" t="inlineStr">
        <is>
          <t>Utkarsh</t>
        </is>
      </c>
      <c r="H12" s="2" t="n"/>
      <c r="I12" s="15" t="inlineStr">
        <is>
          <t>yes</t>
        </is>
      </c>
      <c r="J12" s="15" t="n">
        <v>79</v>
      </c>
      <c r="K12" s="2" t="n"/>
      <c r="L12" s="15" t="inlineStr">
        <is>
          <t>Q1-2026</t>
        </is>
      </c>
      <c r="M12" s="15" t="n">
        <v>28</v>
      </c>
    </row>
    <row r="13" ht="30" customHeight="1">
      <c r="A13" s="15" t="n">
        <v>16609</v>
      </c>
      <c r="B13" s="15" t="inlineStr">
        <is>
          <t>Multiple Parts AE025500E006</t>
        </is>
      </c>
      <c r="C13" s="15" t="inlineStr">
        <is>
          <t>Closed</t>
        </is>
      </c>
      <c r="D13" s="44" t="n">
        <v>46174</v>
      </c>
      <c r="E13" s="41" t="n">
        <v>46161</v>
      </c>
      <c r="F13" s="41" t="n">
        <v>46187</v>
      </c>
      <c r="G13" s="15" t="inlineStr">
        <is>
          <t>Utkarsh</t>
        </is>
      </c>
      <c r="H13" s="15" t="inlineStr">
        <is>
          <t>yes</t>
        </is>
      </c>
      <c r="I13" s="2" t="n"/>
      <c r="J13" s="2" t="n"/>
      <c r="K13" s="15" t="n">
        <v>26</v>
      </c>
      <c r="L13" s="15" t="inlineStr">
        <is>
          <t>Q2-2026</t>
        </is>
      </c>
      <c r="M13" s="15" t="n">
        <v>26</v>
      </c>
    </row>
    <row r="14" ht="45" customHeight="1">
      <c r="A14" s="15" t="n">
        <v>19454</v>
      </c>
      <c r="B14" s="15" t="inlineStr">
        <is>
          <t>A3701022B002 BOM EPC ISSUE</t>
        </is>
      </c>
      <c r="C14" s="15" t="inlineStr">
        <is>
          <t>Closed</t>
        </is>
      </c>
      <c r="D14" s="44" t="n">
        <v>46174</v>
      </c>
      <c r="E14" s="41" t="n">
        <v>46160</v>
      </c>
      <c r="F14" s="41" t="n">
        <v>46179</v>
      </c>
      <c r="G14" s="15" t="inlineStr">
        <is>
          <t>Utkarsh</t>
        </is>
      </c>
      <c r="H14" s="15" t="inlineStr">
        <is>
          <t>yes</t>
        </is>
      </c>
      <c r="I14" s="2" t="n"/>
      <c r="J14" s="2" t="n"/>
      <c r="K14" s="15" t="n">
        <v>16</v>
      </c>
      <c r="L14" s="15" t="inlineStr">
        <is>
          <t>Q2-2026</t>
        </is>
      </c>
      <c r="M14" s="15" t="n">
        <v>19</v>
      </c>
    </row>
    <row r="15" ht="30" customHeight="1">
      <c r="A15" s="15" t="n">
        <v>33371</v>
      </c>
      <c r="B15" s="15" t="inlineStr">
        <is>
          <t>EPC-Enhancement</t>
        </is>
      </c>
      <c r="C15" s="15" t="inlineStr">
        <is>
          <t>Closed</t>
        </is>
      </c>
      <c r="D15" s="44" t="n">
        <v>46023</v>
      </c>
      <c r="E15" s="41" t="n">
        <v>46010</v>
      </c>
      <c r="F15" s="41" t="n">
        <v>46039</v>
      </c>
      <c r="G15" s="15" t="inlineStr">
        <is>
          <t>Utkarsh</t>
        </is>
      </c>
      <c r="H15" s="15" t="inlineStr">
        <is>
          <t>yes</t>
        </is>
      </c>
      <c r="I15" s="15" t="inlineStr">
        <is>
          <t>yes</t>
        </is>
      </c>
      <c r="J15" s="15" t="n">
        <v>85</v>
      </c>
      <c r="K15" s="15" t="n">
        <v>39</v>
      </c>
      <c r="L15" s="15" t="inlineStr">
        <is>
          <t>Q1-2026</t>
        </is>
      </c>
      <c r="M15" s="15" t="n">
        <v>29</v>
      </c>
    </row>
    <row r="16" ht="60" customHeight="1">
      <c r="A16" s="15" t="n">
        <v>16146</v>
      </c>
      <c r="B16" s="15" t="inlineStr">
        <is>
          <t>MDM - BOMs to service structure issue</t>
        </is>
      </c>
      <c r="C16" s="15" t="inlineStr">
        <is>
          <t>OnHold</t>
        </is>
      </c>
      <c r="D16" s="44" t="n">
        <v>46113</v>
      </c>
      <c r="E16" s="41" t="n">
        <v>46087</v>
      </c>
      <c r="F16" s="2" t="n"/>
      <c r="G16" s="15" t="inlineStr">
        <is>
          <t>Utkarsh</t>
        </is>
      </c>
      <c r="H16" s="15" t="inlineStr">
        <is>
          <t>yes</t>
        </is>
      </c>
      <c r="I16" s="2" t="n"/>
      <c r="J16" s="2" t="n"/>
      <c r="K16" s="15" t="n">
        <v>33</v>
      </c>
      <c r="L16" s="15" t="inlineStr">
        <is>
          <t>Q2-2026</t>
        </is>
      </c>
      <c r="M16" s="2" t="n"/>
    </row>
    <row r="17" ht="30" customHeight="1">
      <c r="A17" s="15" t="n">
        <v>23410</v>
      </c>
      <c r="B17" s="15" t="inlineStr">
        <is>
          <t>MDM - BOMs to service show duplicates</t>
        </is>
      </c>
      <c r="C17" s="15" t="inlineStr">
        <is>
          <t>RESOLVED</t>
        </is>
      </c>
      <c r="D17" s="44" t="n">
        <v>46113</v>
      </c>
      <c r="E17" s="41" t="n">
        <v>46089</v>
      </c>
      <c r="F17" s="41" t="n">
        <v>46117</v>
      </c>
      <c r="G17" s="15" t="inlineStr">
        <is>
          <t>Utkarsh</t>
        </is>
      </c>
      <c r="H17" s="15" t="inlineStr">
        <is>
          <t>yes</t>
        </is>
      </c>
      <c r="I17" s="2" t="n"/>
      <c r="J17" s="2" t="n"/>
      <c r="K17" s="15" t="n">
        <v>20</v>
      </c>
      <c r="L17" s="15" t="inlineStr">
        <is>
          <t>Q2-2026</t>
        </is>
      </c>
      <c r="M17" s="15" t="n">
        <v>28</v>
      </c>
    </row>
    <row r="18" ht="45" customHeight="1">
      <c r="A18" s="15" t="n">
        <v>26664</v>
      </c>
      <c r="B18" s="15" t="inlineStr">
        <is>
          <t>3 More Boms with Duplicate Parts</t>
        </is>
      </c>
      <c r="C18" s="15" t="inlineStr">
        <is>
          <t>RESOLVED</t>
        </is>
      </c>
      <c r="D18" s="44" t="n">
        <v>46143</v>
      </c>
      <c r="E18" s="41" t="n">
        <v>46123</v>
      </c>
      <c r="F18" s="41" t="n">
        <v>46163</v>
      </c>
      <c r="G18" s="15" t="inlineStr">
        <is>
          <t>Utkarsh</t>
        </is>
      </c>
      <c r="H18" s="15" t="inlineStr">
        <is>
          <t>yes</t>
        </is>
      </c>
      <c r="I18" s="2" t="n"/>
      <c r="J18" s="2" t="n"/>
      <c r="K18" s="15" t="n">
        <v>36</v>
      </c>
      <c r="L18" s="15" t="inlineStr">
        <is>
          <t>Q2-2026</t>
        </is>
      </c>
      <c r="M18" s="15" t="n">
        <v>40</v>
      </c>
    </row>
    <row r="19" ht="30" customHeight="1">
      <c r="A19" s="15" t="n">
        <v>27702</v>
      </c>
      <c r="B19" s="15" t="inlineStr">
        <is>
          <t>EPC Parts List incomplete</t>
        </is>
      </c>
      <c r="C19" s="15" t="inlineStr">
        <is>
          <t>Closed</t>
        </is>
      </c>
      <c r="D19" s="44" t="n">
        <v>46113</v>
      </c>
      <c r="E19" s="41" t="n">
        <v>46089</v>
      </c>
      <c r="F19" s="41" t="n">
        <v>46122</v>
      </c>
      <c r="G19" s="15" t="inlineStr">
        <is>
          <t>Utkarsh</t>
        </is>
      </c>
      <c r="H19" s="15" t="inlineStr">
        <is>
          <t>yes</t>
        </is>
      </c>
      <c r="I19" s="2" t="n"/>
      <c r="J19" s="2" t="n"/>
      <c r="K19" s="15" t="n">
        <v>39</v>
      </c>
      <c r="L19" s="15" t="inlineStr">
        <is>
          <t>Q2-2026</t>
        </is>
      </c>
      <c r="M19" s="15" t="n">
        <v>33</v>
      </c>
    </row>
    <row r="20" ht="30" customHeight="1">
      <c r="A20" s="15" t="n">
        <v>30159</v>
      </c>
      <c r="B20" s="15" t="inlineStr">
        <is>
          <t>A8722500E002 EPC Parts list incomplete</t>
        </is>
      </c>
      <c r="C20" s="15" t="inlineStr">
        <is>
          <t>Closed</t>
        </is>
      </c>
      <c r="D20" s="44" t="n">
        <v>46174</v>
      </c>
      <c r="E20" s="41" t="n">
        <v>46147</v>
      </c>
      <c r="F20" s="41" t="n">
        <v>46190</v>
      </c>
      <c r="G20" s="15" t="inlineStr">
        <is>
          <t>Utkarsh</t>
        </is>
      </c>
      <c r="H20" s="15" t="inlineStr">
        <is>
          <t>yes</t>
        </is>
      </c>
      <c r="I20" s="2" t="n"/>
      <c r="J20" s="2" t="n"/>
      <c r="K20" s="15" t="n">
        <v>37</v>
      </c>
      <c r="L20" s="15" t="inlineStr">
        <is>
          <t>Q2-2026</t>
        </is>
      </c>
      <c r="M20" s="15" t="n">
        <v>43</v>
      </c>
    </row>
    <row r="21" ht="45" customHeight="1">
      <c r="A21" s="15" t="n">
        <v>31307</v>
      </c>
      <c r="B21" s="15" t="inlineStr">
        <is>
          <t>Latest rev/seq not showing in EPC</t>
        </is>
      </c>
      <c r="C21" s="15" t="inlineStr">
        <is>
          <t>Closed</t>
        </is>
      </c>
      <c r="D21" s="44" t="n">
        <v>46174</v>
      </c>
      <c r="E21" s="41" t="n">
        <v>46166</v>
      </c>
      <c r="F21" s="41" t="n">
        <v>46193</v>
      </c>
      <c r="G21" s="15" t="inlineStr">
        <is>
          <t>Utkarsh</t>
        </is>
      </c>
      <c r="H21" s="2" t="n"/>
      <c r="I21" s="15" t="inlineStr">
        <is>
          <t>yes</t>
        </is>
      </c>
      <c r="J21" s="15" t="n">
        <v>85</v>
      </c>
      <c r="K21" s="2" t="n"/>
      <c r="L21" s="15" t="inlineStr">
        <is>
          <t>Q2-2026</t>
        </is>
      </c>
      <c r="M21" s="15" t="n">
        <v>27</v>
      </c>
    </row>
    <row r="22">
      <c r="A22" s="15" t="n">
        <v>33631</v>
      </c>
      <c r="B22" s="15" t="inlineStr">
        <is>
          <t>Vin. 247741</t>
        </is>
      </c>
      <c r="C22" s="15" t="inlineStr">
        <is>
          <t>Closed</t>
        </is>
      </c>
      <c r="D22" s="44" t="n">
        <v>46143</v>
      </c>
      <c r="E22" s="41" t="n">
        <v>46140</v>
      </c>
      <c r="F22" s="41" t="n">
        <v>46168</v>
      </c>
      <c r="G22" s="15" t="inlineStr">
        <is>
          <t>Utkarsh</t>
        </is>
      </c>
      <c r="H22" s="2" t="n"/>
      <c r="I22" s="15" t="inlineStr">
        <is>
          <t>yes</t>
        </is>
      </c>
      <c r="J22" s="15" t="n">
        <v>70</v>
      </c>
      <c r="K22" s="2" t="n"/>
      <c r="L22" s="15" t="inlineStr">
        <is>
          <t>Q2-2026</t>
        </is>
      </c>
      <c r="M22" s="15" t="n">
        <v>28</v>
      </c>
    </row>
    <row r="23" ht="30" customHeight="1">
      <c r="A23" s="15" t="n">
        <v>35294</v>
      </c>
      <c r="B23" s="15" t="inlineStr">
        <is>
          <t>EPC - Wrong model year</t>
        </is>
      </c>
      <c r="C23" s="15" t="inlineStr">
        <is>
          <t>Closed</t>
        </is>
      </c>
      <c r="D23" s="44" t="n">
        <v>46113</v>
      </c>
      <c r="E23" s="41" t="n">
        <v>46088</v>
      </c>
      <c r="F23" s="41" t="n">
        <v>46124</v>
      </c>
      <c r="G23" s="15" t="inlineStr">
        <is>
          <t>Utkarsh</t>
        </is>
      </c>
      <c r="H23" s="15" t="inlineStr">
        <is>
          <t>yes</t>
        </is>
      </c>
      <c r="I23" s="15" t="inlineStr">
        <is>
          <t>yes</t>
        </is>
      </c>
      <c r="J23" s="15" t="n">
        <v>87</v>
      </c>
      <c r="K23" s="15" t="n">
        <v>31</v>
      </c>
      <c r="L23" s="15" t="inlineStr">
        <is>
          <t>Q2-2026</t>
        </is>
      </c>
      <c r="M23" s="15" t="n">
        <v>36</v>
      </c>
    </row>
    <row r="24" ht="45" customHeight="1">
      <c r="A24" s="15" t="n">
        <v>3575</v>
      </c>
      <c r="B24" s="15" t="inlineStr">
        <is>
          <t>Supplier Report Card - No Updates</t>
        </is>
      </c>
      <c r="C24" s="15" t="inlineStr">
        <is>
          <t>Closed</t>
        </is>
      </c>
      <c r="D24" s="44" t="n">
        <v>46174</v>
      </c>
      <c r="E24" s="41" t="n">
        <v>46169</v>
      </c>
      <c r="F24" s="41" t="n">
        <v>46195</v>
      </c>
      <c r="G24" s="15" t="inlineStr">
        <is>
          <t>Utkarsh</t>
        </is>
      </c>
      <c r="H24" s="15" t="inlineStr">
        <is>
          <t>yes</t>
        </is>
      </c>
      <c r="I24" s="15" t="inlineStr">
        <is>
          <t>yes</t>
        </is>
      </c>
      <c r="J24" s="15" t="n">
        <v>98</v>
      </c>
      <c r="K24" s="15" t="n">
        <v>45</v>
      </c>
      <c r="L24" s="15" t="inlineStr">
        <is>
          <t>Q2-2026</t>
        </is>
      </c>
      <c r="M24" s="15" t="n">
        <v>26</v>
      </c>
    </row>
    <row r="25" ht="72" customHeight="1">
      <c r="A25" s="15" t="n">
        <v>36560</v>
      </c>
      <c r="B25" s="15" t="inlineStr">
        <is>
          <t>Autocar EPC is making unnecessary calls to get part price &amp; inventory</t>
        </is>
      </c>
      <c r="C25" s="15" t="inlineStr">
        <is>
          <t>Closed</t>
        </is>
      </c>
      <c r="D25" s="44" t="n">
        <v>46143</v>
      </c>
      <c r="E25" s="41" t="n">
        <v>46130</v>
      </c>
      <c r="F25" s="41" t="n">
        <v>46165</v>
      </c>
      <c r="G25" s="15" t="inlineStr">
        <is>
          <t>Utkarsh</t>
        </is>
      </c>
      <c r="H25" s="15" t="inlineStr">
        <is>
          <t>yes</t>
        </is>
      </c>
      <c r="I25" s="2" t="n"/>
      <c r="J25" s="2" t="n"/>
      <c r="K25" s="15" t="n">
        <v>24</v>
      </c>
      <c r="L25" s="15" t="inlineStr">
        <is>
          <t>Q2-2026</t>
        </is>
      </c>
      <c r="M25" s="15" t="n">
        <v>35</v>
      </c>
    </row>
    <row r="26" ht="45" customHeight="1">
      <c r="A26" s="15" t="n">
        <v>38145</v>
      </c>
      <c r="B26" s="15" t="inlineStr">
        <is>
          <t>A7352001E129 Part Discrepancy</t>
        </is>
      </c>
      <c r="C26" s="15" t="inlineStr">
        <is>
          <t>Closed</t>
        </is>
      </c>
      <c r="D26" s="44" t="n">
        <v>46143</v>
      </c>
      <c r="E26" s="41" t="n">
        <v>46122</v>
      </c>
      <c r="F26" s="41" t="n">
        <v>46151</v>
      </c>
      <c r="G26" s="15" t="inlineStr">
        <is>
          <t>Utkarsh</t>
        </is>
      </c>
      <c r="H26" s="15" t="inlineStr">
        <is>
          <t>yes</t>
        </is>
      </c>
      <c r="I26" s="15" t="inlineStr">
        <is>
          <t>yes</t>
        </is>
      </c>
      <c r="J26" s="15" t="n">
        <v>70</v>
      </c>
      <c r="K26" s="15" t="n">
        <v>45</v>
      </c>
      <c r="L26" s="15" t="inlineStr">
        <is>
          <t>Q2-2026</t>
        </is>
      </c>
      <c r="M26" s="15" t="n">
        <v>29</v>
      </c>
    </row>
    <row r="27" ht="62.1" customHeight="1">
      <c r="A27" s="15" t="n">
        <v>38146</v>
      </c>
      <c r="B27" s="15" t="inlineStr">
        <is>
          <t>A87B0001E001 Update EPC website part list</t>
        </is>
      </c>
      <c r="C27" s="15" t="inlineStr">
        <is>
          <t>Closed</t>
        </is>
      </c>
      <c r="D27" s="44" t="n">
        <v>46174</v>
      </c>
      <c r="E27" s="41" t="n">
        <v>46168</v>
      </c>
      <c r="F27" s="41" t="n">
        <v>46186</v>
      </c>
      <c r="G27" s="15" t="inlineStr">
        <is>
          <t>Utkarsh</t>
        </is>
      </c>
      <c r="H27" s="15" t="inlineStr">
        <is>
          <t>yes</t>
        </is>
      </c>
      <c r="I27" s="2" t="n"/>
      <c r="J27" s="2" t="n"/>
      <c r="K27" s="15" t="n">
        <v>25</v>
      </c>
      <c r="L27" s="15" t="inlineStr">
        <is>
          <t>Q2-2026</t>
        </is>
      </c>
      <c r="M27" s="15" t="n">
        <v>18</v>
      </c>
    </row>
    <row r="28" ht="30" customHeight="1">
      <c r="A28" s="15" t="n">
        <v>39384</v>
      </c>
      <c r="B28" s="15" t="inlineStr">
        <is>
          <t>Service EPC slow</t>
        </is>
      </c>
      <c r="C28" s="15" t="inlineStr">
        <is>
          <t>Closed</t>
        </is>
      </c>
      <c r="D28" s="44" t="n">
        <v>46143</v>
      </c>
      <c r="E28" s="41" t="n">
        <v>46138</v>
      </c>
      <c r="F28" s="41" t="n">
        <v>46146</v>
      </c>
      <c r="G28" s="15" t="inlineStr">
        <is>
          <t>Utkarsh</t>
        </is>
      </c>
      <c r="H28" s="2" t="n"/>
      <c r="I28" s="15" t="inlineStr">
        <is>
          <t>yes</t>
        </is>
      </c>
      <c r="J28" s="15" t="n">
        <v>99</v>
      </c>
      <c r="K28" s="2" t="n"/>
      <c r="L28" s="15" t="inlineStr">
        <is>
          <t>Q2-2026</t>
        </is>
      </c>
      <c r="M28" s="15" t="n">
        <v>8</v>
      </c>
    </row>
    <row r="29" ht="30" customHeight="1">
      <c r="A29" s="15" t="n">
        <v>41202</v>
      </c>
      <c r="B29" s="15" t="inlineStr">
        <is>
          <t>Unable to Check Out EPC-513_5100E001</t>
        </is>
      </c>
      <c r="C29" s="15" t="inlineStr">
        <is>
          <t>Closed</t>
        </is>
      </c>
      <c r="D29" s="44" t="n">
        <v>46174</v>
      </c>
      <c r="E29" s="41" t="n">
        <v>46156</v>
      </c>
      <c r="F29" s="41" t="n">
        <v>46195</v>
      </c>
      <c r="G29" s="15" t="inlineStr">
        <is>
          <t>Utkarsh</t>
        </is>
      </c>
      <c r="H29" s="2" t="n"/>
      <c r="I29" s="15" t="inlineStr">
        <is>
          <t>yes</t>
        </is>
      </c>
      <c r="J29" s="15" t="n">
        <v>95</v>
      </c>
      <c r="K29" s="2" t="n"/>
      <c r="L29" s="15" t="inlineStr">
        <is>
          <t>Q2-2026</t>
        </is>
      </c>
      <c r="M29" s="15" t="n">
        <v>39</v>
      </c>
    </row>
    <row r="30" ht="72" customHeight="1">
      <c r="A30" s="15" t="n">
        <v>8822</v>
      </c>
      <c r="B30" s="15" t="inlineStr">
        <is>
          <t>Quality SCAR Credit Memo Request Error / Brian Lowe - Help</t>
        </is>
      </c>
      <c r="C30" s="15" t="inlineStr">
        <is>
          <t>Closed</t>
        </is>
      </c>
      <c r="D30" s="44" t="n">
        <v>46143</v>
      </c>
      <c r="E30" s="41" t="n">
        <v>46138</v>
      </c>
      <c r="F30" s="41" t="n">
        <v>46162</v>
      </c>
      <c r="G30" s="15" t="inlineStr">
        <is>
          <t>Utkarsh</t>
        </is>
      </c>
      <c r="H30" s="15" t="inlineStr">
        <is>
          <t>yes</t>
        </is>
      </c>
      <c r="I30" s="15" t="inlineStr">
        <is>
          <t>yes</t>
        </is>
      </c>
      <c r="J30" s="15" t="n">
        <v>47</v>
      </c>
      <c r="K30" s="15" t="n">
        <v>19</v>
      </c>
      <c r="L30" s="15" t="inlineStr">
        <is>
          <t>Q2-2026</t>
        </is>
      </c>
      <c r="M30" s="15" t="n">
        <v>24</v>
      </c>
    </row>
    <row r="31" ht="30" customHeight="1">
      <c r="A31" s="15" t="n">
        <v>15506</v>
      </c>
      <c r="B31" s="15" t="inlineStr">
        <is>
          <t>SCAR finance emails</t>
        </is>
      </c>
      <c r="C31" s="15" t="inlineStr">
        <is>
          <t>Closed</t>
        </is>
      </c>
      <c r="D31" s="44" t="n">
        <v>45870</v>
      </c>
      <c r="E31" s="41" t="n">
        <v>45861</v>
      </c>
      <c r="F31" s="41" t="n">
        <v>45894</v>
      </c>
      <c r="G31" s="15" t="inlineStr">
        <is>
          <t>Utkarsh</t>
        </is>
      </c>
      <c r="H31" s="2" t="n"/>
      <c r="I31" s="15" t="inlineStr">
        <is>
          <t>yes</t>
        </is>
      </c>
      <c r="J31" s="15" t="n">
        <v>80</v>
      </c>
      <c r="K31" s="2" t="n"/>
      <c r="L31" s="15" t="inlineStr">
        <is>
          <t>Q3-2025</t>
        </is>
      </c>
      <c r="M31" s="15" t="n">
        <v>33</v>
      </c>
    </row>
    <row r="32" ht="72" customHeight="1">
      <c r="A32" s="15" t="n">
        <v>17996</v>
      </c>
      <c r="B32" s="15" t="inlineStr">
        <is>
          <t>BOMS loaded to VIN 236786 in MDM but not showing up in EPC</t>
        </is>
      </c>
      <c r="C32" s="15" t="inlineStr">
        <is>
          <t>InProgress</t>
        </is>
      </c>
      <c r="D32" s="44" t="n">
        <v>45901</v>
      </c>
      <c r="E32" s="41" t="n">
        <v>45887</v>
      </c>
      <c r="F32" s="2" t="n"/>
      <c r="G32" s="15" t="inlineStr">
        <is>
          <t>Utkarsh</t>
        </is>
      </c>
      <c r="H32" s="2" t="n"/>
      <c r="I32" s="15" t="inlineStr">
        <is>
          <t>yes</t>
        </is>
      </c>
      <c r="J32" s="15" t="n">
        <v>93</v>
      </c>
      <c r="K32" s="2" t="n"/>
      <c r="L32" s="15" t="inlineStr">
        <is>
          <t>Q3-2025</t>
        </is>
      </c>
      <c r="M32" s="2" t="n"/>
    </row>
    <row r="33" ht="72" customHeight="1">
      <c r="A33" s="15" t="n">
        <v>19387</v>
      </c>
      <c r="B33" s="15" t="inlineStr">
        <is>
          <t>Child parts are unchecked in BOMs to Service</t>
        </is>
      </c>
      <c r="C33" s="15" t="inlineStr">
        <is>
          <t>Closed</t>
        </is>
      </c>
      <c r="D33" s="44" t="n">
        <v>45870</v>
      </c>
      <c r="E33" s="41" t="n">
        <v>45858</v>
      </c>
      <c r="F33" s="41" t="n">
        <v>45897</v>
      </c>
      <c r="G33" s="15" t="inlineStr">
        <is>
          <t>Utkarsh</t>
        </is>
      </c>
      <c r="H33" s="2" t="n"/>
      <c r="I33" s="15" t="inlineStr">
        <is>
          <t>yes</t>
        </is>
      </c>
      <c r="J33" s="15" t="n">
        <v>98</v>
      </c>
      <c r="K33" s="2" t="n"/>
      <c r="L33" s="15" t="inlineStr">
        <is>
          <t>Q3-2025</t>
        </is>
      </c>
      <c r="M33" s="15" t="n">
        <v>39</v>
      </c>
    </row>
    <row r="34" ht="72" customHeight="1">
      <c r="A34" s="15" t="n">
        <v>22609</v>
      </c>
      <c r="B34" s="15" t="inlineStr">
        <is>
          <t>Change location of scar origin in Scar system</t>
        </is>
      </c>
      <c r="C34" s="15" t="inlineStr">
        <is>
          <t>Closed</t>
        </is>
      </c>
      <c r="D34" s="44" t="n">
        <v>45870</v>
      </c>
      <c r="E34" s="41" t="n">
        <v>45849</v>
      </c>
      <c r="F34" s="41" t="n">
        <v>45892</v>
      </c>
      <c r="G34" s="15" t="inlineStr">
        <is>
          <t>Utkarsh</t>
        </is>
      </c>
      <c r="H34" s="2" t="n"/>
      <c r="I34" s="15" t="inlineStr">
        <is>
          <t>yes</t>
        </is>
      </c>
      <c r="J34" s="15" t="n">
        <v>48</v>
      </c>
      <c r="K34" s="2" t="n"/>
      <c r="L34" s="15" t="inlineStr">
        <is>
          <t>Q3-2025</t>
        </is>
      </c>
      <c r="M34" s="15" t="n">
        <v>43</v>
      </c>
    </row>
    <row r="35" ht="30" customHeight="1">
      <c r="A35" s="15" t="n">
        <v>23780</v>
      </c>
      <c r="B35" s="15" t="inlineStr">
        <is>
          <t>Quantity added</t>
        </is>
      </c>
      <c r="C35" s="15" t="inlineStr">
        <is>
          <t>Closed</t>
        </is>
      </c>
      <c r="D35" s="44" t="n">
        <v>45870</v>
      </c>
      <c r="E35" s="41" t="n">
        <v>45864</v>
      </c>
      <c r="F35" s="41" t="n">
        <v>45874</v>
      </c>
      <c r="G35" s="15" t="inlineStr">
        <is>
          <t>Utkarsh</t>
        </is>
      </c>
      <c r="H35" s="2" t="n"/>
      <c r="I35" s="15" t="inlineStr">
        <is>
          <t>yes</t>
        </is>
      </c>
      <c r="J35" s="15" t="n">
        <v>41</v>
      </c>
      <c r="K35" s="2" t="n"/>
      <c r="L35" s="15" t="inlineStr">
        <is>
          <t>Q3-2025</t>
        </is>
      </c>
      <c r="M35" s="15" t="n">
        <v>10</v>
      </c>
    </row>
    <row r="36" ht="62.1" customHeight="1">
      <c r="A36" s="15" t="n">
        <v>24154</v>
      </c>
      <c r="B36" s="15" t="inlineStr">
        <is>
          <t>A6039998B997 Structure showing extra Part</t>
        </is>
      </c>
      <c r="C36" s="15" t="inlineStr">
        <is>
          <t>Closed</t>
        </is>
      </c>
      <c r="D36" s="44" t="n">
        <v>45901</v>
      </c>
      <c r="E36" s="41" t="n">
        <v>45886</v>
      </c>
      <c r="F36" s="41" t="n">
        <v>45908</v>
      </c>
      <c r="G36" s="15" t="inlineStr">
        <is>
          <t>Utkarsh</t>
        </is>
      </c>
      <c r="H36" s="15" t="inlineStr">
        <is>
          <t>yes</t>
        </is>
      </c>
      <c r="I36" s="2" t="n"/>
      <c r="J36" s="2" t="n"/>
      <c r="K36" s="15" t="n">
        <v>36</v>
      </c>
      <c r="L36" s="15" t="inlineStr">
        <is>
          <t>Q3-2025</t>
        </is>
      </c>
      <c r="M36" s="15" t="n">
        <v>22</v>
      </c>
    </row>
    <row r="37">
      <c r="A37" s="15" t="n">
        <v>25881</v>
      </c>
      <c r="B37" s="15" t="inlineStr">
        <is>
          <t>AE700001-002</t>
        </is>
      </c>
      <c r="C37" s="15" t="inlineStr">
        <is>
          <t>RESOLVED</t>
        </is>
      </c>
      <c r="D37" s="44" t="n">
        <v>45839</v>
      </c>
      <c r="E37" s="41" t="n">
        <v>45823</v>
      </c>
      <c r="F37" s="41" t="n">
        <v>45845</v>
      </c>
      <c r="G37" s="15" t="inlineStr">
        <is>
          <t>Utkarsh</t>
        </is>
      </c>
      <c r="H37" s="15" t="inlineStr">
        <is>
          <t>yes</t>
        </is>
      </c>
      <c r="I37" s="2" t="n"/>
      <c r="J37" s="2" t="n"/>
      <c r="K37" s="15" t="n">
        <v>19</v>
      </c>
      <c r="L37" s="15" t="inlineStr">
        <is>
          <t>Q3-2025</t>
        </is>
      </c>
      <c r="M37" s="15" t="n">
        <v>22</v>
      </c>
    </row>
    <row r="38" ht="30" customHeight="1">
      <c r="A38" s="15" t="n">
        <v>26181</v>
      </c>
      <c r="B38" s="15" t="inlineStr">
        <is>
          <t>Duplicate Notes</t>
        </is>
      </c>
      <c r="C38" s="15" t="inlineStr">
        <is>
          <t>InProgress</t>
        </is>
      </c>
      <c r="D38" s="44" t="n">
        <v>45839</v>
      </c>
      <c r="E38" s="41" t="n">
        <v>45811</v>
      </c>
      <c r="F38" s="2" t="n"/>
      <c r="G38" s="15" t="inlineStr">
        <is>
          <t>Utkarsh</t>
        </is>
      </c>
      <c r="H38" s="15" t="inlineStr">
        <is>
          <t>yes</t>
        </is>
      </c>
      <c r="I38" s="15" t="inlineStr">
        <is>
          <t>yes</t>
        </is>
      </c>
      <c r="J38" s="15" t="n">
        <v>31</v>
      </c>
      <c r="K38" s="15" t="n">
        <v>17</v>
      </c>
      <c r="L38" s="15" t="inlineStr">
        <is>
          <t>Q3-2025</t>
        </is>
      </c>
      <c r="M38" s="2" t="n"/>
    </row>
    <row r="39" ht="45" customHeight="1">
      <c r="A39" s="15" t="n">
        <v>27117</v>
      </c>
      <c r="B39" s="15" t="inlineStr">
        <is>
          <t>Duplicate Part Visible in Part List</t>
        </is>
      </c>
      <c r="C39" s="15" t="inlineStr">
        <is>
          <t>RESOLVED</t>
        </is>
      </c>
      <c r="D39" s="44" t="n">
        <v>45839</v>
      </c>
      <c r="E39" s="41" t="n">
        <v>45822</v>
      </c>
      <c r="F39" s="41" t="n">
        <v>45862</v>
      </c>
      <c r="G39" s="15" t="inlineStr">
        <is>
          <t>Utkarsh</t>
        </is>
      </c>
      <c r="H39" s="15" t="inlineStr">
        <is>
          <t>yes</t>
        </is>
      </c>
      <c r="I39" s="15" t="inlineStr">
        <is>
          <t>yes</t>
        </is>
      </c>
      <c r="J39" s="15" t="n">
        <v>39</v>
      </c>
      <c r="K39" s="15" t="n">
        <v>20</v>
      </c>
      <c r="L39" s="15" t="inlineStr">
        <is>
          <t>Q3-2025</t>
        </is>
      </c>
      <c r="M39" s="15" t="n">
        <v>40</v>
      </c>
    </row>
    <row r="40" ht="60" customHeight="1">
      <c r="A40" s="15" t="n">
        <v>27339</v>
      </c>
      <c r="B40" s="15" t="inlineStr">
        <is>
          <t>EPC Part Lists have duplicate parts</t>
        </is>
      </c>
      <c r="C40" s="15" t="inlineStr">
        <is>
          <t>RESOLVED</t>
        </is>
      </c>
      <c r="D40" s="44" t="n">
        <v>45839</v>
      </c>
      <c r="E40" s="41" t="n">
        <v>45822</v>
      </c>
      <c r="F40" s="41" t="n">
        <v>45863</v>
      </c>
      <c r="G40" s="15" t="inlineStr">
        <is>
          <t>Utkarsh</t>
        </is>
      </c>
      <c r="H40" s="15" t="inlineStr">
        <is>
          <t>yes</t>
        </is>
      </c>
      <c r="I40" s="2" t="n"/>
      <c r="J40" s="2" t="n"/>
      <c r="K40" s="15" t="n">
        <v>43</v>
      </c>
      <c r="L40" s="15" t="inlineStr">
        <is>
          <t>Q3-2025</t>
        </is>
      </c>
      <c r="M40" s="15" t="n">
        <v>41</v>
      </c>
    </row>
    <row r="41" ht="45" customHeight="1">
      <c r="A41" s="15" t="n">
        <v>27977</v>
      </c>
      <c r="B41" s="15" t="inlineStr">
        <is>
          <t>A6610003B125 Part Discrepancy</t>
        </is>
      </c>
      <c r="C41" s="15" t="inlineStr">
        <is>
          <t>Closed</t>
        </is>
      </c>
      <c r="D41" s="44" t="n">
        <v>45901</v>
      </c>
      <c r="E41" s="41" t="n">
        <v>45885</v>
      </c>
      <c r="F41" s="41" t="n">
        <v>45914</v>
      </c>
      <c r="G41" s="15" t="inlineStr">
        <is>
          <t>Utkarsh</t>
        </is>
      </c>
      <c r="H41" s="15" t="inlineStr">
        <is>
          <t>yes</t>
        </is>
      </c>
      <c r="I41" s="2" t="n"/>
      <c r="J41" s="2" t="n"/>
      <c r="K41" s="15" t="n">
        <v>23</v>
      </c>
      <c r="L41" s="15" t="inlineStr">
        <is>
          <t>Q3-2025</t>
        </is>
      </c>
      <c r="M41" s="15" t="n">
        <v>29</v>
      </c>
    </row>
    <row r="42" ht="72" customHeight="1">
      <c r="A42" s="15" t="n">
        <v>27999</v>
      </c>
      <c r="B42" s="15" t="inlineStr">
        <is>
          <t>A3832003E219 Duplicate entries &amp; Discrepancy</t>
        </is>
      </c>
      <c r="C42" s="15" t="inlineStr">
        <is>
          <t>Resolved</t>
        </is>
      </c>
      <c r="D42" s="44" t="n">
        <v>45901</v>
      </c>
      <c r="E42" s="41" t="n">
        <v>45879</v>
      </c>
      <c r="F42" s="41" t="n">
        <v>45906</v>
      </c>
      <c r="G42" s="15" t="inlineStr">
        <is>
          <t>Utkarsh</t>
        </is>
      </c>
      <c r="H42" s="15" t="inlineStr">
        <is>
          <t>yes</t>
        </is>
      </c>
      <c r="I42" s="2" t="n"/>
      <c r="J42" s="2" t="n"/>
      <c r="K42" s="15" t="n">
        <v>35</v>
      </c>
      <c r="L42" s="15" t="inlineStr">
        <is>
          <t>Q3-2025</t>
        </is>
      </c>
      <c r="M42" s="15" t="n">
        <v>27</v>
      </c>
    </row>
    <row r="43" ht="72" customHeight="1">
      <c r="A43" s="15" t="n">
        <v>29010</v>
      </c>
      <c r="B43" s="15" t="inlineStr">
        <is>
          <t>A7445000E007 Duplicate entries in EPC Parts List</t>
        </is>
      </c>
      <c r="C43" s="15" t="inlineStr">
        <is>
          <t>Closed</t>
        </is>
      </c>
      <c r="D43" s="44" t="n">
        <v>45901</v>
      </c>
      <c r="E43" s="41" t="n">
        <v>45888</v>
      </c>
      <c r="F43" s="41" t="n">
        <v>45922</v>
      </c>
      <c r="G43" s="15" t="inlineStr">
        <is>
          <t>Utkarsh</t>
        </is>
      </c>
      <c r="H43" s="15" t="inlineStr">
        <is>
          <t>yes</t>
        </is>
      </c>
      <c r="I43" s="2" t="n"/>
      <c r="J43" s="2" t="n"/>
      <c r="K43" s="15" t="n">
        <v>28</v>
      </c>
      <c r="L43" s="15" t="inlineStr">
        <is>
          <t>Q3-2025</t>
        </is>
      </c>
      <c r="M43" s="15" t="n">
        <v>34</v>
      </c>
    </row>
    <row r="44" ht="72" customHeight="1">
      <c r="A44" s="15" t="n">
        <v>13789</v>
      </c>
      <c r="B44" s="15" t="inlineStr">
        <is>
          <t>MDM - New "Routine Maintenance Part" check box request</t>
        </is>
      </c>
      <c r="C44" s="15" t="inlineStr">
        <is>
          <t>In-UAT</t>
        </is>
      </c>
      <c r="D44" s="44" t="n">
        <v>46204</v>
      </c>
      <c r="E44" s="41" t="n">
        <v>46183</v>
      </c>
      <c r="F44" s="2" t="n"/>
      <c r="G44" s="15" t="inlineStr">
        <is>
          <t>Utkarsh</t>
        </is>
      </c>
      <c r="H44" s="2" t="n"/>
      <c r="I44" s="15" t="inlineStr">
        <is>
          <t>yes</t>
        </is>
      </c>
      <c r="J44" s="15" t="n">
        <v>97</v>
      </c>
      <c r="K44" s="2" t="n"/>
      <c r="L44" s="15" t="inlineStr">
        <is>
          <t>Q3-2026</t>
        </is>
      </c>
      <c r="M44" s="2" t="n"/>
    </row>
    <row r="45" ht="72" customHeight="1">
      <c r="A45" s="15" t="n">
        <v>37814</v>
      </c>
      <c r="B45" s="15" t="inlineStr">
        <is>
          <t>SCAR Report To Finance Shows Each Category $$ Amount and Total</t>
        </is>
      </c>
      <c r="C45" s="15" t="inlineStr">
        <is>
          <t>Closed</t>
        </is>
      </c>
      <c r="D45" s="44" t="n">
        <v>46204</v>
      </c>
      <c r="E45" s="41" t="n">
        <v>46185</v>
      </c>
      <c r="F45" s="41" t="n">
        <v>46218</v>
      </c>
      <c r="G45" s="15" t="inlineStr">
        <is>
          <t>Utkarsh</t>
        </is>
      </c>
      <c r="H45" s="2" t="n"/>
      <c r="I45" s="15" t="inlineStr">
        <is>
          <t>yes</t>
        </is>
      </c>
      <c r="J45" s="15" t="n">
        <v>77</v>
      </c>
      <c r="K45" s="2" t="n"/>
      <c r="L45" s="15" t="inlineStr">
        <is>
          <t>Q3-2026</t>
        </is>
      </c>
      <c r="M45" s="15" t="n">
        <v>33</v>
      </c>
    </row>
    <row r="46" ht="72" customHeight="1">
      <c r="A46" s="15" t="n">
        <v>42122</v>
      </c>
      <c r="B46" s="15" t="inlineStr">
        <is>
          <t>MDM - BOMs to Service service check box issue</t>
        </is>
      </c>
      <c r="C46" s="15" t="inlineStr">
        <is>
          <t>InProgress</t>
        </is>
      </c>
      <c r="D46" s="44" t="n">
        <v>46204</v>
      </c>
      <c r="E46" s="41" t="n">
        <v>46183</v>
      </c>
      <c r="F46" s="2" t="n"/>
      <c r="G46" s="15" t="inlineStr">
        <is>
          <t>Utkarsh</t>
        </is>
      </c>
      <c r="H46" s="2" t="n"/>
      <c r="I46" s="15" t="inlineStr">
        <is>
          <t>yes</t>
        </is>
      </c>
      <c r="J46" s="15" t="n">
        <v>56</v>
      </c>
      <c r="K46" s="2" t="n"/>
      <c r="L46" s="15" t="inlineStr">
        <is>
          <t>Q3-2026</t>
        </is>
      </c>
      <c r="M46" s="2" t="n"/>
    </row>
    <row r="47" ht="45" customHeight="1">
      <c r="A47" s="15" t="n">
        <v>42241</v>
      </c>
      <c r="B47" s="15" t="inlineStr">
        <is>
          <t>EPC-cannot expand the BOM</t>
        </is>
      </c>
      <c r="C47" s="15" t="inlineStr">
        <is>
          <t>Closed</t>
        </is>
      </c>
      <c r="D47" s="44" t="n">
        <v>46204</v>
      </c>
      <c r="E47" s="41" t="n">
        <v>46194</v>
      </c>
      <c r="F47" s="41" t="n">
        <v>46232</v>
      </c>
      <c r="G47" s="15" t="inlineStr">
        <is>
          <t>Utkarsh</t>
        </is>
      </c>
      <c r="H47" s="15" t="inlineStr">
        <is>
          <t>yes</t>
        </is>
      </c>
      <c r="I47" s="15" t="inlineStr">
        <is>
          <t>yes</t>
        </is>
      </c>
      <c r="J47" s="15" t="n">
        <v>33</v>
      </c>
      <c r="K47" s="15" t="n">
        <v>35</v>
      </c>
      <c r="L47" s="15" t="inlineStr">
        <is>
          <t>Q3-2026</t>
        </is>
      </c>
      <c r="M47" s="15" t="n">
        <v>38</v>
      </c>
    </row>
    <row r="48" ht="30" customHeight="1">
      <c r="A48" s="15" t="n">
        <v>16188</v>
      </c>
      <c r="B48" s="15" t="inlineStr">
        <is>
          <t>Adding structure to aftermarket no parts</t>
        </is>
      </c>
      <c r="C48" s="15" t="inlineStr">
        <is>
          <t>Closed</t>
        </is>
      </c>
      <c r="D48" s="44" t="n">
        <v>45931</v>
      </c>
      <c r="E48" s="41" t="n">
        <v>45915</v>
      </c>
      <c r="F48" s="41" t="n">
        <v>45934</v>
      </c>
      <c r="G48" s="15" t="inlineStr">
        <is>
          <t>Utkarsh</t>
        </is>
      </c>
      <c r="H48" s="15" t="inlineStr">
        <is>
          <t>yes</t>
        </is>
      </c>
      <c r="I48" s="15" t="inlineStr">
        <is>
          <t>yes</t>
        </is>
      </c>
      <c r="J48" s="15" t="n">
        <v>51</v>
      </c>
      <c r="K48" s="15" t="n">
        <v>29</v>
      </c>
      <c r="L48" s="15" t="inlineStr">
        <is>
          <t>Q4-2025</t>
        </is>
      </c>
      <c r="M48" s="15" t="n">
        <v>19</v>
      </c>
    </row>
    <row r="49" ht="62.1" customHeight="1">
      <c r="A49" s="15" t="n">
        <v>18760</v>
      </c>
      <c r="B49" s="15" t="inlineStr">
        <is>
          <t>MDM - VIN-BOM Exception tool hanging up #2</t>
        </is>
      </c>
      <c r="C49" s="15" t="inlineStr">
        <is>
          <t>Closed</t>
        </is>
      </c>
      <c r="D49" s="44" t="n">
        <v>45962</v>
      </c>
      <c r="E49" s="41" t="n">
        <v>45953</v>
      </c>
      <c r="F49" s="41" t="n">
        <v>45982</v>
      </c>
      <c r="G49" s="15" t="inlineStr">
        <is>
          <t>Utkarsh</t>
        </is>
      </c>
      <c r="H49" s="2" t="n"/>
      <c r="I49" s="15" t="inlineStr">
        <is>
          <t>yes</t>
        </is>
      </c>
      <c r="J49" s="15" t="n">
        <v>57</v>
      </c>
      <c r="K49" s="2" t="n"/>
      <c r="L49" s="15" t="inlineStr">
        <is>
          <t>Q4-2025</t>
        </is>
      </c>
      <c r="M49" s="15" t="n">
        <v>29</v>
      </c>
    </row>
    <row r="50" ht="30" customHeight="1">
      <c r="A50" s="15" t="n">
        <v>23703</v>
      </c>
      <c r="B50" s="15" t="inlineStr">
        <is>
          <t>A2842007E023 BOM</t>
        </is>
      </c>
      <c r="C50" s="15" t="inlineStr">
        <is>
          <t>InProgress - Approver</t>
        </is>
      </c>
      <c r="D50" s="44" t="n">
        <v>45992</v>
      </c>
      <c r="E50" s="41" t="n">
        <v>45966</v>
      </c>
      <c r="F50" s="2" t="n"/>
      <c r="G50" s="15" t="inlineStr">
        <is>
          <t>Utkarsh</t>
        </is>
      </c>
      <c r="H50" s="2" t="n"/>
      <c r="I50" s="15" t="inlineStr">
        <is>
          <t>yes</t>
        </is>
      </c>
      <c r="J50" s="15" t="n">
        <v>96</v>
      </c>
      <c r="K50" s="2" t="n"/>
      <c r="L50" s="15" t="inlineStr">
        <is>
          <t>Q4-2025</t>
        </is>
      </c>
      <c r="M50" s="2" t="n"/>
    </row>
    <row r="51" ht="45" customHeight="1">
      <c r="A51" s="15" t="n">
        <v>23721</v>
      </c>
      <c r="B51" s="15" t="inlineStr">
        <is>
          <t>MDM - BOMs to Service seq issue</t>
        </is>
      </c>
      <c r="C51" s="15" t="inlineStr">
        <is>
          <t>RESOLVED</t>
        </is>
      </c>
      <c r="D51" s="44" t="n">
        <v>45931</v>
      </c>
      <c r="E51" s="41" t="n">
        <v>45925</v>
      </c>
      <c r="F51" s="41" t="n">
        <v>45938</v>
      </c>
      <c r="G51" s="15" t="inlineStr">
        <is>
          <t>Utkarsh</t>
        </is>
      </c>
      <c r="H51" s="15" t="inlineStr">
        <is>
          <t>yes</t>
        </is>
      </c>
      <c r="I51" s="15" t="inlineStr">
        <is>
          <t>yes</t>
        </is>
      </c>
      <c r="J51" s="15" t="n">
        <v>53</v>
      </c>
      <c r="K51" s="15" t="n">
        <v>37</v>
      </c>
      <c r="L51" s="15" t="inlineStr">
        <is>
          <t>Q4-2025</t>
        </is>
      </c>
      <c r="M51" s="15" t="n">
        <v>13</v>
      </c>
    </row>
    <row r="52" ht="45" customHeight="1">
      <c r="A52" s="15" t="n">
        <v>24084</v>
      </c>
      <c r="B52" s="15" t="inlineStr">
        <is>
          <t>MDM - BOMs to service error message</t>
        </is>
      </c>
      <c r="C52" s="15" t="inlineStr">
        <is>
          <t>Closed</t>
        </is>
      </c>
      <c r="D52" s="44" t="n">
        <v>45992</v>
      </c>
      <c r="E52" s="41" t="n">
        <v>45981</v>
      </c>
      <c r="F52" s="41" t="n">
        <v>46012</v>
      </c>
      <c r="G52" s="15" t="inlineStr">
        <is>
          <t>Utkarsh</t>
        </is>
      </c>
      <c r="H52" s="2" t="n"/>
      <c r="I52" s="15" t="inlineStr">
        <is>
          <t>yes</t>
        </is>
      </c>
      <c r="J52" s="15" t="n">
        <v>90</v>
      </c>
      <c r="K52" s="2" t="n"/>
      <c r="L52" s="15" t="inlineStr">
        <is>
          <t>Q4-2025</t>
        </is>
      </c>
      <c r="M52" s="15" t="n">
        <v>31</v>
      </c>
    </row>
    <row r="53" ht="72" customHeight="1">
      <c r="A53" s="15" t="n">
        <v>27250</v>
      </c>
      <c r="B53" s="15" t="inlineStr">
        <is>
          <t>When VIN is put in EPC BOM does not shwo breakodwn (without VIN it does show breakdown) SPE0005262</t>
        </is>
      </c>
      <c r="C53" s="15" t="inlineStr">
        <is>
          <t>Closed</t>
        </is>
      </c>
      <c r="D53" s="44" t="n">
        <v>45931</v>
      </c>
      <c r="E53" s="41" t="n">
        <v>45924</v>
      </c>
      <c r="F53" s="41" t="n">
        <v>45955</v>
      </c>
      <c r="G53" s="15" t="inlineStr">
        <is>
          <t>Utkarsh</t>
        </is>
      </c>
      <c r="H53" s="2" t="n"/>
      <c r="I53" s="15" t="inlineStr">
        <is>
          <t>yes</t>
        </is>
      </c>
      <c r="J53" s="15" t="n">
        <v>65</v>
      </c>
      <c r="K53" s="2" t="n"/>
      <c r="L53" s="15" t="inlineStr">
        <is>
          <t>Q4-2025</t>
        </is>
      </c>
      <c r="M53" s="15" t="n">
        <v>31</v>
      </c>
    </row>
    <row r="54" ht="45" customHeight="1">
      <c r="A54" s="15" t="n">
        <v>27742</v>
      </c>
      <c r="B54" s="15" t="inlineStr">
        <is>
          <t>Part Lists have duplicate parts</t>
        </is>
      </c>
      <c r="C54" s="15" t="inlineStr">
        <is>
          <t>Closed</t>
        </is>
      </c>
      <c r="D54" s="44" t="n">
        <v>45962</v>
      </c>
      <c r="E54" s="41" t="n">
        <v>45948</v>
      </c>
      <c r="F54" s="41" t="n">
        <v>45981</v>
      </c>
      <c r="G54" s="15" t="inlineStr">
        <is>
          <t>Utkarsh</t>
        </is>
      </c>
      <c r="H54" s="15" t="inlineStr">
        <is>
          <t>yes</t>
        </is>
      </c>
      <c r="I54" s="2" t="n"/>
      <c r="J54" s="2" t="n"/>
      <c r="K54" s="15" t="n">
        <v>26</v>
      </c>
      <c r="L54" s="15" t="inlineStr">
        <is>
          <t>Q4-2025</t>
        </is>
      </c>
      <c r="M54" s="15" t="n">
        <v>33</v>
      </c>
    </row>
    <row r="55" ht="30" customHeight="1">
      <c r="A55" s="15" t="n">
        <v>27857</v>
      </c>
      <c r="B55" s="15" t="inlineStr">
        <is>
          <t>EPCs require part lists</t>
        </is>
      </c>
      <c r="C55" s="15" t="inlineStr">
        <is>
          <t>Resolved</t>
        </is>
      </c>
      <c r="D55" s="44" t="n">
        <v>45962</v>
      </c>
      <c r="E55" s="41" t="n">
        <v>45954</v>
      </c>
      <c r="F55" s="41" t="n">
        <v>45979</v>
      </c>
      <c r="G55" s="15" t="inlineStr">
        <is>
          <t>Utkarsh</t>
        </is>
      </c>
      <c r="H55" s="2" t="n"/>
      <c r="I55" s="15" t="inlineStr">
        <is>
          <t>yes</t>
        </is>
      </c>
      <c r="J55" s="15" t="n">
        <v>58</v>
      </c>
      <c r="K55" s="2" t="n"/>
      <c r="L55" s="15" t="inlineStr">
        <is>
          <t>Q4-2025</t>
        </is>
      </c>
      <c r="M55" s="15" t="n">
        <v>25</v>
      </c>
    </row>
    <row r="56" ht="72" customHeight="1">
      <c r="A56" s="15" t="n">
        <v>28049</v>
      </c>
      <c r="B56" s="15" t="inlineStr">
        <is>
          <t>MDM - Copy Structure / BOMs to Service Issue</t>
        </is>
      </c>
      <c r="C56" s="15" t="inlineStr">
        <is>
          <t>Closed</t>
        </is>
      </c>
      <c r="D56" s="44" t="n">
        <v>45931</v>
      </c>
      <c r="E56" s="41" t="n">
        <v>45927</v>
      </c>
      <c r="F56" s="41" t="n">
        <v>45953</v>
      </c>
      <c r="G56" s="15" t="inlineStr">
        <is>
          <t>Utkarsh</t>
        </is>
      </c>
      <c r="H56" s="2" t="n"/>
      <c r="I56" s="15" t="inlineStr">
        <is>
          <t>yes</t>
        </is>
      </c>
      <c r="J56" s="15" t="n">
        <v>100</v>
      </c>
      <c r="K56" s="2" t="n"/>
      <c r="L56" s="15" t="inlineStr">
        <is>
          <t>Q4-2025</t>
        </is>
      </c>
      <c r="M56" s="15" t="n">
        <v>26</v>
      </c>
    </row>
    <row r="57" ht="45" customHeight="1">
      <c r="A57" s="15" t="n">
        <v>28120</v>
      </c>
      <c r="B57" s="15" t="inlineStr">
        <is>
          <t>EPC - Missing structure from MDM</t>
        </is>
      </c>
      <c r="C57" s="15" t="inlineStr">
        <is>
          <t>InProgress</t>
        </is>
      </c>
      <c r="D57" s="44" t="n">
        <v>45962</v>
      </c>
      <c r="E57" s="41" t="n">
        <v>45955</v>
      </c>
      <c r="F57" s="2" t="n"/>
      <c r="G57" s="15" t="inlineStr">
        <is>
          <t>Utkarsh</t>
        </is>
      </c>
      <c r="H57" s="15" t="inlineStr">
        <is>
          <t>yes</t>
        </is>
      </c>
      <c r="I57" s="2" t="n"/>
      <c r="J57" s="2" t="n"/>
      <c r="K57" s="15" t="n">
        <v>25</v>
      </c>
      <c r="L57" s="15" t="inlineStr">
        <is>
          <t>Q4-2025</t>
        </is>
      </c>
      <c r="M57" s="2" t="n"/>
    </row>
    <row r="58" ht="45" customHeight="1">
      <c r="A58" s="15" t="n">
        <v>30165</v>
      </c>
      <c r="B58" s="15" t="inlineStr">
        <is>
          <t>Tech Modernization for EPC</t>
        </is>
      </c>
      <c r="C58" s="15" t="inlineStr">
        <is>
          <t>Closed</t>
        </is>
      </c>
      <c r="D58" s="44" t="n">
        <v>45931</v>
      </c>
      <c r="E58" s="41" t="n">
        <v>45903</v>
      </c>
      <c r="F58" s="41" t="n">
        <v>45943</v>
      </c>
      <c r="G58" s="15" t="inlineStr">
        <is>
          <t>Utkarsh</t>
        </is>
      </c>
      <c r="H58" s="15" t="inlineStr">
        <is>
          <t>yes</t>
        </is>
      </c>
      <c r="I58" s="15" t="inlineStr">
        <is>
          <t>yes</t>
        </is>
      </c>
      <c r="J58" s="15" t="n">
        <v>94</v>
      </c>
      <c r="K58" s="15" t="n">
        <v>33</v>
      </c>
      <c r="L58" s="15" t="inlineStr">
        <is>
          <t>Q4-2025</t>
        </is>
      </c>
      <c r="M58" s="15" t="n">
        <v>40</v>
      </c>
    </row>
    <row r="59">
      <c r="A59" s="15" t="n">
        <v>31247</v>
      </c>
      <c r="B59" s="15" t="inlineStr">
        <is>
          <t>VMRS Tab</t>
        </is>
      </c>
      <c r="C59" s="15" t="inlineStr">
        <is>
          <t>Closed</t>
        </is>
      </c>
      <c r="D59" s="44" t="n">
        <v>45962</v>
      </c>
      <c r="E59" s="41" t="n">
        <v>45948</v>
      </c>
      <c r="F59" s="41" t="n">
        <v>45980</v>
      </c>
      <c r="G59" s="15" t="inlineStr">
        <is>
          <t>Utkarsh</t>
        </is>
      </c>
      <c r="H59" s="2" t="n"/>
      <c r="I59" s="15" t="inlineStr">
        <is>
          <t>yes</t>
        </is>
      </c>
      <c r="J59" s="15" t="n">
        <v>63</v>
      </c>
      <c r="K59" s="2" t="n"/>
      <c r="L59" s="15" t="inlineStr">
        <is>
          <t>Q4-2025</t>
        </is>
      </c>
      <c r="M59" s="15" t="n">
        <v>32</v>
      </c>
    </row>
    <row r="60" ht="30" customHeight="1">
      <c r="A60" s="15" t="n">
        <v>7612</v>
      </c>
      <c r="B60" s="15" t="inlineStr">
        <is>
          <t>MDM question</t>
        </is>
      </c>
      <c r="C60" s="15" t="inlineStr">
        <is>
          <t>Closed</t>
        </is>
      </c>
      <c r="D60" s="44" t="n">
        <v>45931</v>
      </c>
      <c r="E60" s="41" t="n">
        <v>45907</v>
      </c>
      <c r="F60" s="41" t="n">
        <v>45951</v>
      </c>
      <c r="G60" s="15" t="inlineStr">
        <is>
          <t>Utkarsh</t>
        </is>
      </c>
      <c r="H60" s="2" t="n"/>
      <c r="I60" s="15" t="inlineStr">
        <is>
          <t>yes</t>
        </is>
      </c>
      <c r="J60" s="15" t="n">
        <v>62</v>
      </c>
      <c r="K60" s="2" t="n"/>
      <c r="L60" s="15" t="inlineStr">
        <is>
          <t>Q4-2025</t>
        </is>
      </c>
      <c r="M60" s="15" t="n">
        <v>44</v>
      </c>
    </row>
  </sheetData>
  <hyperlinks>
    <hyperlink ref="A1" location="Utkarsh_OKR_Checklist!A1" display="Utkarsh_OKR_Checklist!A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4" customWidth="1" min="1" max="5"/>
    <col width="15" customWidth="1" min="6" max="6"/>
    <col width="14" customWidth="1" min="7" max="9"/>
    <col width="21" customWidth="1" min="10" max="10"/>
    <col width="20" customWidth="1" min="11" max="11"/>
    <col width="14" customWidth="1" min="12" max="13"/>
  </cols>
  <sheetData>
    <row r="1" ht="30" customHeight="1">
      <c r="A1" s="19" t="inlineStr">
        <is>
          <t>Utkarsh_OKR_Checklist!A1</t>
        </is>
      </c>
      <c r="B1" s="3" t="n"/>
    </row>
    <row r="3" ht="17.45" customHeight="1">
      <c r="A3" s="34" t="inlineStr">
        <is>
          <t>Q3-2025 — ticket evidence pack</t>
        </is>
      </c>
    </row>
    <row r="5" ht="21.95" customHeight="1">
      <c r="A5" s="14" t="inlineStr">
        <is>
          <t>Ticket No.</t>
        </is>
      </c>
      <c r="B5" s="14" t="inlineStr">
        <is>
          <t>Description</t>
        </is>
      </c>
      <c r="C5" s="14" t="inlineStr">
        <is>
          <t>Status</t>
        </is>
      </c>
      <c r="D5" s="14" t="inlineStr">
        <is>
          <t>Month</t>
        </is>
      </c>
      <c r="E5" s="14" t="inlineStr">
        <is>
          <t>Assign Date</t>
        </is>
      </c>
      <c r="F5" s="14" t="inlineStr">
        <is>
          <t>Closure Date</t>
        </is>
      </c>
      <c r="G5" s="14" t="inlineStr">
        <is>
          <t>Owner</t>
        </is>
      </c>
      <c r="H5" s="14" t="inlineStr">
        <is>
          <t>SP Change</t>
        </is>
      </c>
      <c r="I5" s="14" t="inlineStr">
        <is>
          <t>Code Change</t>
        </is>
      </c>
      <c r="J5" s="14" t="inlineStr">
        <is>
          <t>Code Lines Changed</t>
        </is>
      </c>
      <c r="K5" s="14" t="inlineStr">
        <is>
          <t>SQL Lines Changed</t>
        </is>
      </c>
      <c r="L5" s="14" t="inlineStr">
        <is>
          <t>Quarter</t>
        </is>
      </c>
      <c r="M5" s="14" t="inlineStr">
        <is>
          <t>Cycle Days</t>
        </is>
      </c>
    </row>
    <row r="6">
      <c r="A6" s="17" t="n">
        <v>25881</v>
      </c>
      <c r="B6" s="17" t="inlineStr">
        <is>
          <t>AE700001-002</t>
        </is>
      </c>
      <c r="C6" s="17" t="inlineStr">
        <is>
          <t>RESOLVED</t>
        </is>
      </c>
      <c r="D6" s="45" t="n">
        <v>45839</v>
      </c>
      <c r="E6" s="45" t="n">
        <v>45823</v>
      </c>
      <c r="F6" s="45" t="n">
        <v>45845</v>
      </c>
      <c r="G6" s="17" t="inlineStr">
        <is>
          <t>Utkarsh</t>
        </is>
      </c>
      <c r="H6" s="17" t="inlineStr">
        <is>
          <t>yes</t>
        </is>
      </c>
      <c r="I6" s="10" t="n"/>
      <c r="J6" s="10" t="n"/>
      <c r="K6" s="17" t="n">
        <v>19</v>
      </c>
      <c r="L6" s="17" t="inlineStr">
        <is>
          <t>Q3-2025</t>
        </is>
      </c>
      <c r="M6" s="17" t="n">
        <v>22</v>
      </c>
    </row>
    <row r="7" ht="45" customHeight="1">
      <c r="A7" s="17" t="n">
        <v>27117</v>
      </c>
      <c r="B7" s="17" t="inlineStr">
        <is>
          <t>Duplicate Part Visible in Part List</t>
        </is>
      </c>
      <c r="C7" s="17" t="inlineStr">
        <is>
          <t>RESOLVED</t>
        </is>
      </c>
      <c r="D7" s="45" t="n">
        <v>45839</v>
      </c>
      <c r="E7" s="45" t="n">
        <v>45822</v>
      </c>
      <c r="F7" s="45" t="n">
        <v>45862</v>
      </c>
      <c r="G7" s="17" t="inlineStr">
        <is>
          <t>Utkarsh</t>
        </is>
      </c>
      <c r="H7" s="17" t="inlineStr">
        <is>
          <t>yes</t>
        </is>
      </c>
      <c r="I7" s="17" t="inlineStr">
        <is>
          <t>yes</t>
        </is>
      </c>
      <c r="J7" s="17" t="n">
        <v>39</v>
      </c>
      <c r="K7" s="17" t="n">
        <v>20</v>
      </c>
      <c r="L7" s="17" t="inlineStr">
        <is>
          <t>Q3-2025</t>
        </is>
      </c>
      <c r="M7" s="17" t="n">
        <v>40</v>
      </c>
    </row>
    <row r="8" ht="60" customHeight="1">
      <c r="A8" s="17" t="n">
        <v>27339</v>
      </c>
      <c r="B8" s="17" t="inlineStr">
        <is>
          <t>EPC Part Lists have duplicate parts</t>
        </is>
      </c>
      <c r="C8" s="17" t="inlineStr">
        <is>
          <t>RESOLVED</t>
        </is>
      </c>
      <c r="D8" s="45" t="n">
        <v>45839</v>
      </c>
      <c r="E8" s="45" t="n">
        <v>45822</v>
      </c>
      <c r="F8" s="45" t="n">
        <v>45863</v>
      </c>
      <c r="G8" s="17" t="inlineStr">
        <is>
          <t>Utkarsh</t>
        </is>
      </c>
      <c r="H8" s="17" t="inlineStr">
        <is>
          <t>yes</t>
        </is>
      </c>
      <c r="I8" s="10" t="n"/>
      <c r="J8" s="10" t="n"/>
      <c r="K8" s="17" t="n">
        <v>43</v>
      </c>
      <c r="L8" s="17" t="inlineStr">
        <is>
          <t>Q3-2025</t>
        </is>
      </c>
      <c r="M8" s="17" t="n">
        <v>41</v>
      </c>
    </row>
    <row r="9" ht="30" customHeight="1">
      <c r="A9" s="17" t="n">
        <v>23780</v>
      </c>
      <c r="B9" s="17" t="inlineStr">
        <is>
          <t>Quantity added</t>
        </is>
      </c>
      <c r="C9" s="17" t="inlineStr">
        <is>
          <t>Closed</t>
        </is>
      </c>
      <c r="D9" s="45" t="n">
        <v>45870</v>
      </c>
      <c r="E9" s="45" t="n">
        <v>45864</v>
      </c>
      <c r="F9" s="45" t="n">
        <v>45874</v>
      </c>
      <c r="G9" s="17" t="inlineStr">
        <is>
          <t>Utkarsh</t>
        </is>
      </c>
      <c r="H9" s="10" t="n"/>
      <c r="I9" s="17" t="inlineStr">
        <is>
          <t>yes</t>
        </is>
      </c>
      <c r="J9" s="17" t="n">
        <v>41</v>
      </c>
      <c r="K9" s="10" t="n"/>
      <c r="L9" s="17" t="inlineStr">
        <is>
          <t>Q3-2025</t>
        </is>
      </c>
      <c r="M9" s="17" t="n">
        <v>10</v>
      </c>
    </row>
    <row r="10" ht="72" customHeight="1">
      <c r="A10" s="17" t="n">
        <v>22609</v>
      </c>
      <c r="B10" s="17" t="inlineStr">
        <is>
          <t>Change location of scar origin in Scar system</t>
        </is>
      </c>
      <c r="C10" s="17" t="inlineStr">
        <is>
          <t>Closed</t>
        </is>
      </c>
      <c r="D10" s="45" t="n">
        <v>45870</v>
      </c>
      <c r="E10" s="45" t="n">
        <v>45849</v>
      </c>
      <c r="F10" s="45" t="n">
        <v>45892</v>
      </c>
      <c r="G10" s="17" t="inlineStr">
        <is>
          <t>Utkarsh</t>
        </is>
      </c>
      <c r="H10" s="10" t="n"/>
      <c r="I10" s="17" t="inlineStr">
        <is>
          <t>yes</t>
        </is>
      </c>
      <c r="J10" s="17" t="n">
        <v>48</v>
      </c>
      <c r="K10" s="10" t="n"/>
      <c r="L10" s="17" t="inlineStr">
        <is>
          <t>Q3-2025</t>
        </is>
      </c>
      <c r="M10" s="17" t="n">
        <v>43</v>
      </c>
    </row>
    <row r="11" ht="30" customHeight="1">
      <c r="A11" s="17" t="n">
        <v>15506</v>
      </c>
      <c r="B11" s="17" t="inlineStr">
        <is>
          <t>SCAR finance emails</t>
        </is>
      </c>
      <c r="C11" s="17" t="inlineStr">
        <is>
          <t>Closed</t>
        </is>
      </c>
      <c r="D11" s="45" t="n">
        <v>45870</v>
      </c>
      <c r="E11" s="45" t="n">
        <v>45861</v>
      </c>
      <c r="F11" s="45" t="n">
        <v>45894</v>
      </c>
      <c r="G11" s="17" t="inlineStr">
        <is>
          <t>Utkarsh</t>
        </is>
      </c>
      <c r="H11" s="10" t="n"/>
      <c r="I11" s="17" t="inlineStr">
        <is>
          <t>yes</t>
        </is>
      </c>
      <c r="J11" s="17" t="n">
        <v>80</v>
      </c>
      <c r="K11" s="10" t="n"/>
      <c r="L11" s="17" t="inlineStr">
        <is>
          <t>Q3-2025</t>
        </is>
      </c>
      <c r="M11" s="17" t="n">
        <v>33</v>
      </c>
    </row>
    <row r="12" ht="72" customHeight="1">
      <c r="A12" s="17" t="n">
        <v>19387</v>
      </c>
      <c r="B12" s="17" t="inlineStr">
        <is>
          <t>Child parts are unchecked in BOMs to Service</t>
        </is>
      </c>
      <c r="C12" s="17" t="inlineStr">
        <is>
          <t>Closed</t>
        </is>
      </c>
      <c r="D12" s="45" t="n">
        <v>45870</v>
      </c>
      <c r="E12" s="45" t="n">
        <v>45858</v>
      </c>
      <c r="F12" s="45" t="n">
        <v>45897</v>
      </c>
      <c r="G12" s="17" t="inlineStr">
        <is>
          <t>Utkarsh</t>
        </is>
      </c>
      <c r="H12" s="10" t="n"/>
      <c r="I12" s="17" t="inlineStr">
        <is>
          <t>yes</t>
        </is>
      </c>
      <c r="J12" s="17" t="n">
        <v>98</v>
      </c>
      <c r="K12" s="10" t="n"/>
      <c r="L12" s="17" t="inlineStr">
        <is>
          <t>Q3-2025</t>
        </is>
      </c>
      <c r="M12" s="17" t="n">
        <v>39</v>
      </c>
    </row>
    <row r="13" ht="72" customHeight="1">
      <c r="A13" s="17" t="n">
        <v>27999</v>
      </c>
      <c r="B13" s="17" t="inlineStr">
        <is>
          <t>A3832003E219 Duplicate entries &amp; Discrepancy</t>
        </is>
      </c>
      <c r="C13" s="17" t="inlineStr">
        <is>
          <t>Resolved</t>
        </is>
      </c>
      <c r="D13" s="45" t="n">
        <v>45901</v>
      </c>
      <c r="E13" s="45" t="n">
        <v>45879</v>
      </c>
      <c r="F13" s="45" t="n">
        <v>45906</v>
      </c>
      <c r="G13" s="17" t="inlineStr">
        <is>
          <t>Utkarsh</t>
        </is>
      </c>
      <c r="H13" s="17" t="inlineStr">
        <is>
          <t>yes</t>
        </is>
      </c>
      <c r="I13" s="10" t="n"/>
      <c r="J13" s="10" t="n"/>
      <c r="K13" s="17" t="n">
        <v>35</v>
      </c>
      <c r="L13" s="17" t="inlineStr">
        <is>
          <t>Q3-2025</t>
        </is>
      </c>
      <c r="M13" s="17" t="n">
        <v>27</v>
      </c>
    </row>
    <row r="14" ht="62.1" customHeight="1">
      <c r="A14" s="17" t="n">
        <v>24154</v>
      </c>
      <c r="B14" s="17" t="inlineStr">
        <is>
          <t>A6039998B997 Structure showing extra Part</t>
        </is>
      </c>
      <c r="C14" s="17" t="inlineStr">
        <is>
          <t>Closed</t>
        </is>
      </c>
      <c r="D14" s="45" t="n">
        <v>45901</v>
      </c>
      <c r="E14" s="45" t="n">
        <v>45886</v>
      </c>
      <c r="F14" s="45" t="n">
        <v>45908</v>
      </c>
      <c r="G14" s="17" t="inlineStr">
        <is>
          <t>Utkarsh</t>
        </is>
      </c>
      <c r="H14" s="17" t="inlineStr">
        <is>
          <t>yes</t>
        </is>
      </c>
      <c r="I14" s="10" t="n"/>
      <c r="J14" s="10" t="n"/>
      <c r="K14" s="17" t="n">
        <v>36</v>
      </c>
      <c r="L14" s="17" t="inlineStr">
        <is>
          <t>Q3-2025</t>
        </is>
      </c>
      <c r="M14" s="17" t="n">
        <v>22</v>
      </c>
    </row>
    <row r="15" ht="45" customHeight="1">
      <c r="A15" s="17" t="n">
        <v>27977</v>
      </c>
      <c r="B15" s="17" t="inlineStr">
        <is>
          <t>A6610003B125 Part Discrepancy</t>
        </is>
      </c>
      <c r="C15" s="17" t="inlineStr">
        <is>
          <t>Closed</t>
        </is>
      </c>
      <c r="D15" s="45" t="n">
        <v>45901</v>
      </c>
      <c r="E15" s="45" t="n">
        <v>45885</v>
      </c>
      <c r="F15" s="45" t="n">
        <v>45914</v>
      </c>
      <c r="G15" s="17" t="inlineStr">
        <is>
          <t>Utkarsh</t>
        </is>
      </c>
      <c r="H15" s="17" t="inlineStr">
        <is>
          <t>yes</t>
        </is>
      </c>
      <c r="I15" s="10" t="n"/>
      <c r="J15" s="10" t="n"/>
      <c r="K15" s="17" t="n">
        <v>23</v>
      </c>
      <c r="L15" s="17" t="inlineStr">
        <is>
          <t>Q3-2025</t>
        </is>
      </c>
      <c r="M15" s="17" t="n">
        <v>29</v>
      </c>
    </row>
    <row r="16" ht="72" customHeight="1">
      <c r="A16" s="17" t="n">
        <v>29010</v>
      </c>
      <c r="B16" s="17" t="inlineStr">
        <is>
          <t>A7445000E007 Duplicate entries in EPC Parts List</t>
        </is>
      </c>
      <c r="C16" s="17" t="inlineStr">
        <is>
          <t>Closed</t>
        </is>
      </c>
      <c r="D16" s="45" t="n">
        <v>45901</v>
      </c>
      <c r="E16" s="45" t="n">
        <v>45888</v>
      </c>
      <c r="F16" s="45" t="n">
        <v>45922</v>
      </c>
      <c r="G16" s="17" t="inlineStr">
        <is>
          <t>Utkarsh</t>
        </is>
      </c>
      <c r="H16" s="17" t="inlineStr">
        <is>
          <t>yes</t>
        </is>
      </c>
      <c r="I16" s="10" t="n"/>
      <c r="J16" s="10" t="n"/>
      <c r="K16" s="17" t="n">
        <v>28</v>
      </c>
      <c r="L16" s="17" t="inlineStr">
        <is>
          <t>Q3-2025</t>
        </is>
      </c>
      <c r="M16" s="17" t="n">
        <v>34</v>
      </c>
    </row>
    <row r="17" ht="72" customHeight="1">
      <c r="A17" s="17" t="n">
        <v>17996</v>
      </c>
      <c r="B17" s="17" t="inlineStr">
        <is>
          <t>BOMS loaded to VIN 236786 in MDM but not showing up in EPC</t>
        </is>
      </c>
      <c r="C17" s="17" t="inlineStr">
        <is>
          <t>InProgress</t>
        </is>
      </c>
      <c r="D17" s="45" t="n">
        <v>45901</v>
      </c>
      <c r="E17" s="45" t="n">
        <v>45887</v>
      </c>
      <c r="F17" s="10" t="n"/>
      <c r="G17" s="17" t="inlineStr">
        <is>
          <t>Utkarsh</t>
        </is>
      </c>
      <c r="H17" s="10" t="n"/>
      <c r="I17" s="17" t="inlineStr">
        <is>
          <t>yes</t>
        </is>
      </c>
      <c r="J17" s="17" t="n">
        <v>93</v>
      </c>
      <c r="K17" s="10" t="n"/>
      <c r="L17" s="17" t="inlineStr">
        <is>
          <t>Q3-2025</t>
        </is>
      </c>
      <c r="M17" s="10" t="n"/>
    </row>
    <row r="18" ht="30" customHeight="1">
      <c r="A18" s="17" t="n">
        <v>26181</v>
      </c>
      <c r="B18" s="17" t="inlineStr">
        <is>
          <t>Duplicate Notes</t>
        </is>
      </c>
      <c r="C18" s="17" t="inlineStr">
        <is>
          <t>InProgress</t>
        </is>
      </c>
      <c r="D18" s="45" t="n">
        <v>45839</v>
      </c>
      <c r="E18" s="45" t="n">
        <v>45811</v>
      </c>
      <c r="F18" s="10" t="n"/>
      <c r="G18" s="17" t="inlineStr">
        <is>
          <t>Utkarsh</t>
        </is>
      </c>
      <c r="H18" s="17" t="inlineStr">
        <is>
          <t>yes</t>
        </is>
      </c>
      <c r="I18" s="17" t="inlineStr">
        <is>
          <t>yes</t>
        </is>
      </c>
      <c r="J18" s="17" t="n">
        <v>31</v>
      </c>
      <c r="K18" s="17" t="n">
        <v>17</v>
      </c>
      <c r="L18" s="17" t="inlineStr">
        <is>
          <t>Q3-2025</t>
        </is>
      </c>
      <c r="M18" s="10" t="n"/>
    </row>
  </sheetData>
  <hyperlinks>
    <hyperlink ref="A1" location="Utkarsh_OKR_Checklist!A1" display="Utkarsh_OKR_Checklist!A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4" customWidth="1" min="1" max="3"/>
  </cols>
  <sheetData>
    <row r="1" ht="30" customHeight="1">
      <c r="A1" s="19" t="inlineStr">
        <is>
          <t>Utkarsh_OKR_Checklist!A1</t>
        </is>
      </c>
      <c r="B1" s="3" t="n"/>
    </row>
    <row r="3" ht="17.45" customHeight="1">
      <c r="A3" s="34" t="inlineStr">
        <is>
          <t>Q3-2025 Summary</t>
        </is>
      </c>
    </row>
    <row r="5" ht="21.95" customHeight="1">
      <c r="A5" s="14" t="inlineStr">
        <is>
          <t>Metric</t>
        </is>
      </c>
      <c r="B5" s="14" t="inlineStr">
        <is>
          <t>Value</t>
        </is>
      </c>
      <c r="C5" s="14" t="inlineStr">
        <is>
          <t>Yes/No</t>
        </is>
      </c>
    </row>
    <row r="6">
      <c r="A6" s="17" t="inlineStr">
        <is>
          <t>Total tickets</t>
        </is>
      </c>
      <c r="B6" s="17" t="n">
        <v>13</v>
      </c>
    </row>
    <row r="7" ht="30" customHeight="1">
      <c r="A7" s="17" t="inlineStr">
        <is>
          <t>Closed/Resolved</t>
        </is>
      </c>
      <c r="B7" s="17" t="n">
        <v>11</v>
      </c>
      <c r="C7" s="27" t="inlineStr">
        <is>
          <t>Yes</t>
        </is>
      </c>
    </row>
    <row r="8">
      <c r="A8" s="17" t="inlineStr">
        <is>
          <t>Open / spill</t>
        </is>
      </c>
      <c r="B8" s="17" t="n">
        <v>2</v>
      </c>
      <c r="C8" s="27" t="inlineStr">
        <is>
          <t>Yes</t>
        </is>
      </c>
    </row>
    <row r="9">
      <c r="A9" s="17" t="inlineStr">
        <is>
          <t>Spill %</t>
        </is>
      </c>
      <c r="B9" s="17" t="n">
        <v>15.4</v>
      </c>
      <c r="C9" s="27" t="inlineStr">
        <is>
          <t>Yes</t>
        </is>
      </c>
    </row>
    <row r="10" ht="30" customHeight="1">
      <c r="A10" s="17" t="inlineStr">
        <is>
          <t>Code Change tickets</t>
        </is>
      </c>
      <c r="B10" s="17" t="n">
        <v>7</v>
      </c>
      <c r="C10" s="27" t="inlineStr">
        <is>
          <t>Yes</t>
        </is>
      </c>
    </row>
    <row r="11" ht="30" customHeight="1">
      <c r="A11" s="17" t="inlineStr">
        <is>
          <t>SP Change tickets</t>
        </is>
      </c>
      <c r="B11" s="17" t="n">
        <v>8</v>
      </c>
      <c r="C11" s="27" t="inlineStr">
        <is>
          <t>Yes</t>
        </is>
      </c>
    </row>
    <row r="12">
      <c r="A12" s="17" t="inlineStr">
        <is>
          <t>Code Lines</t>
        </is>
      </c>
      <c r="B12" s="17" t="n">
        <v>430</v>
      </c>
    </row>
    <row r="13">
      <c r="A13" s="17" t="inlineStr">
        <is>
          <t>SQL Lines</t>
        </is>
      </c>
      <c r="B13" s="17" t="n">
        <v>221</v>
      </c>
    </row>
    <row r="14" ht="30" customHeight="1">
      <c r="A14" s="17" t="inlineStr">
        <is>
          <t>Avg Cycle Days</t>
        </is>
      </c>
      <c r="B14" s="17" t="n">
        <v>30.9</v>
      </c>
      <c r="C14" s="27" t="inlineStr">
        <is>
          <t>Yes</t>
        </is>
      </c>
    </row>
    <row r="15" ht="30" customHeight="1">
      <c r="A15" s="17" t="inlineStr">
        <is>
          <t>Defect-theme proxy</t>
        </is>
      </c>
      <c r="B15" s="17" t="n">
        <v>0</v>
      </c>
      <c r="C15" s="27" t="inlineStr">
        <is>
          <t>Yes</t>
        </is>
      </c>
    </row>
    <row r="16" ht="30" customHeight="1">
      <c r="A16" s="17" t="inlineStr">
        <is>
          <t>Rework/reopen proxy</t>
        </is>
      </c>
      <c r="B16" s="17" t="n">
        <v>0</v>
      </c>
      <c r="C16" s="27" t="inlineStr">
        <is>
          <t>Yes</t>
        </is>
      </c>
    </row>
    <row r="17">
      <c r="A17" s="17" t="inlineStr">
        <is>
          <t>Quality gate</t>
        </is>
      </c>
      <c r="B17" s="17" t="inlineStr">
        <is>
          <t>Pass</t>
        </is>
      </c>
      <c r="C17" s="27" t="inlineStr">
        <is>
          <t>Yes</t>
        </is>
      </c>
    </row>
  </sheetData>
  <hyperlinks>
    <hyperlink ref="A1" location="Utkarsh_OKR_Checklist!A1" display="Utkarsh_OKR_Checklist!A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4" customWidth="1" min="1" max="5"/>
    <col width="15" customWidth="1" min="6" max="6"/>
    <col width="14" customWidth="1" min="7" max="9"/>
    <col width="21" customWidth="1" min="10" max="10"/>
    <col width="20" customWidth="1" min="11" max="11"/>
    <col width="14" customWidth="1" min="12" max="13"/>
  </cols>
  <sheetData>
    <row r="1" ht="30" customHeight="1">
      <c r="A1" s="19" t="inlineStr">
        <is>
          <t>Utkarsh_OKR_Checklist!A1</t>
        </is>
      </c>
      <c r="B1" s="3" t="n"/>
    </row>
    <row r="3" ht="17.45" customHeight="1">
      <c r="A3" s="34" t="inlineStr">
        <is>
          <t>Q4-2025 — ticket evidence pack</t>
        </is>
      </c>
    </row>
    <row r="5" ht="21.95" customHeight="1">
      <c r="A5" s="14" t="inlineStr">
        <is>
          <t>Ticket No.</t>
        </is>
      </c>
      <c r="B5" s="14" t="inlineStr">
        <is>
          <t>Description</t>
        </is>
      </c>
      <c r="C5" s="14" t="inlineStr">
        <is>
          <t>Status</t>
        </is>
      </c>
      <c r="D5" s="14" t="inlineStr">
        <is>
          <t>Month</t>
        </is>
      </c>
      <c r="E5" s="14" t="inlineStr">
        <is>
          <t>Assign Date</t>
        </is>
      </c>
      <c r="F5" s="14" t="inlineStr">
        <is>
          <t>Closure Date</t>
        </is>
      </c>
      <c r="G5" s="14" t="inlineStr">
        <is>
          <t>Owner</t>
        </is>
      </c>
      <c r="H5" s="14" t="inlineStr">
        <is>
          <t>SP Change</t>
        </is>
      </c>
      <c r="I5" s="14" t="inlineStr">
        <is>
          <t>Code Change</t>
        </is>
      </c>
      <c r="J5" s="14" t="inlineStr">
        <is>
          <t>Code Lines Changed</t>
        </is>
      </c>
      <c r="K5" s="14" t="inlineStr">
        <is>
          <t>SQL Lines Changed</t>
        </is>
      </c>
      <c r="L5" s="14" t="inlineStr">
        <is>
          <t>Quarter</t>
        </is>
      </c>
      <c r="M5" s="14" t="inlineStr">
        <is>
          <t>Cycle Days</t>
        </is>
      </c>
    </row>
    <row r="6" ht="30" customHeight="1">
      <c r="A6" s="17" t="n">
        <v>16188</v>
      </c>
      <c r="B6" s="17" t="inlineStr">
        <is>
          <t>Adding structure to aftermarket no parts</t>
        </is>
      </c>
      <c r="C6" s="17" t="inlineStr">
        <is>
          <t>Closed</t>
        </is>
      </c>
      <c r="D6" s="45" t="n">
        <v>45931</v>
      </c>
      <c r="E6" s="45" t="n">
        <v>45915</v>
      </c>
      <c r="F6" s="45" t="n">
        <v>45934</v>
      </c>
      <c r="G6" s="17" t="inlineStr">
        <is>
          <t>Utkarsh</t>
        </is>
      </c>
      <c r="H6" s="17" t="inlineStr">
        <is>
          <t>yes</t>
        </is>
      </c>
      <c r="I6" s="17" t="inlineStr">
        <is>
          <t>yes</t>
        </is>
      </c>
      <c r="J6" s="17" t="n">
        <v>51</v>
      </c>
      <c r="K6" s="17" t="n">
        <v>29</v>
      </c>
      <c r="L6" s="17" t="inlineStr">
        <is>
          <t>Q4-2025</t>
        </is>
      </c>
      <c r="M6" s="17" t="n">
        <v>19</v>
      </c>
    </row>
    <row r="7" ht="45" customHeight="1">
      <c r="A7" s="17" t="n">
        <v>23721</v>
      </c>
      <c r="B7" s="17" t="inlineStr">
        <is>
          <t>MDM - BOMs to Service seq issue</t>
        </is>
      </c>
      <c r="C7" s="17" t="inlineStr">
        <is>
          <t>RESOLVED</t>
        </is>
      </c>
      <c r="D7" s="45" t="n">
        <v>45931</v>
      </c>
      <c r="E7" s="45" t="n">
        <v>45925</v>
      </c>
      <c r="F7" s="45" t="n">
        <v>45938</v>
      </c>
      <c r="G7" s="17" t="inlineStr">
        <is>
          <t>Utkarsh</t>
        </is>
      </c>
      <c r="H7" s="17" t="inlineStr">
        <is>
          <t>yes</t>
        </is>
      </c>
      <c r="I7" s="17" t="inlineStr">
        <is>
          <t>yes</t>
        </is>
      </c>
      <c r="J7" s="17" t="n">
        <v>53</v>
      </c>
      <c r="K7" s="17" t="n">
        <v>37</v>
      </c>
      <c r="L7" s="17" t="inlineStr">
        <is>
          <t>Q4-2025</t>
        </is>
      </c>
      <c r="M7" s="17" t="n">
        <v>13</v>
      </c>
    </row>
    <row r="8" ht="45" customHeight="1">
      <c r="A8" s="17" t="n">
        <v>30165</v>
      </c>
      <c r="B8" s="17" t="inlineStr">
        <is>
          <t>Tech Modernization for EPC</t>
        </is>
      </c>
      <c r="C8" s="17" t="inlineStr">
        <is>
          <t>Closed</t>
        </is>
      </c>
      <c r="D8" s="45" t="n">
        <v>45931</v>
      </c>
      <c r="E8" s="45" t="n">
        <v>45903</v>
      </c>
      <c r="F8" s="45" t="n">
        <v>45943</v>
      </c>
      <c r="G8" s="17" t="inlineStr">
        <is>
          <t>Utkarsh</t>
        </is>
      </c>
      <c r="H8" s="17" t="inlineStr">
        <is>
          <t>yes</t>
        </is>
      </c>
      <c r="I8" s="17" t="inlineStr">
        <is>
          <t>yes</t>
        </is>
      </c>
      <c r="J8" s="17" t="n">
        <v>94</v>
      </c>
      <c r="K8" s="17" t="n">
        <v>33</v>
      </c>
      <c r="L8" s="17" t="inlineStr">
        <is>
          <t>Q4-2025</t>
        </is>
      </c>
      <c r="M8" s="17" t="n">
        <v>40</v>
      </c>
    </row>
    <row r="9" ht="30" customHeight="1">
      <c r="A9" s="17" t="n">
        <v>7612</v>
      </c>
      <c r="B9" s="17" t="inlineStr">
        <is>
          <t>MDM question</t>
        </is>
      </c>
      <c r="C9" s="17" t="inlineStr">
        <is>
          <t>Closed</t>
        </is>
      </c>
      <c r="D9" s="45" t="n">
        <v>45931</v>
      </c>
      <c r="E9" s="45" t="n">
        <v>45907</v>
      </c>
      <c r="F9" s="45" t="n">
        <v>45951</v>
      </c>
      <c r="G9" s="17" t="inlineStr">
        <is>
          <t>Utkarsh</t>
        </is>
      </c>
      <c r="H9" s="10" t="n"/>
      <c r="I9" s="17" t="inlineStr">
        <is>
          <t>yes</t>
        </is>
      </c>
      <c r="J9" s="17" t="n">
        <v>62</v>
      </c>
      <c r="K9" s="10" t="n"/>
      <c r="L9" s="17" t="inlineStr">
        <is>
          <t>Q4-2025</t>
        </is>
      </c>
      <c r="M9" s="17" t="n">
        <v>44</v>
      </c>
    </row>
    <row r="10" ht="72" customHeight="1">
      <c r="A10" s="17" t="n">
        <v>28049</v>
      </c>
      <c r="B10" s="17" t="inlineStr">
        <is>
          <t>MDM - Copy Structure / BOMs to Service Issue</t>
        </is>
      </c>
      <c r="C10" s="17" t="inlineStr">
        <is>
          <t>Closed</t>
        </is>
      </c>
      <c r="D10" s="45" t="n">
        <v>45931</v>
      </c>
      <c r="E10" s="45" t="n">
        <v>45927</v>
      </c>
      <c r="F10" s="45" t="n">
        <v>45953</v>
      </c>
      <c r="G10" s="17" t="inlineStr">
        <is>
          <t>Utkarsh</t>
        </is>
      </c>
      <c r="H10" s="10" t="n"/>
      <c r="I10" s="17" t="inlineStr">
        <is>
          <t>yes</t>
        </is>
      </c>
      <c r="J10" s="17" t="n">
        <v>100</v>
      </c>
      <c r="K10" s="10" t="n"/>
      <c r="L10" s="17" t="inlineStr">
        <is>
          <t>Q4-2025</t>
        </is>
      </c>
      <c r="M10" s="17" t="n">
        <v>26</v>
      </c>
    </row>
    <row r="11" ht="72" customHeight="1">
      <c r="A11" s="17" t="n">
        <v>27250</v>
      </c>
      <c r="B11" s="17" t="inlineStr">
        <is>
          <t>When VIN is put in EPC BOM does not shwo breakodwn (without VIN it does show breakdown) SPE0005262</t>
        </is>
      </c>
      <c r="C11" s="17" t="inlineStr">
        <is>
          <t>Closed</t>
        </is>
      </c>
      <c r="D11" s="45" t="n">
        <v>45931</v>
      </c>
      <c r="E11" s="45" t="n">
        <v>45924</v>
      </c>
      <c r="F11" s="45" t="n">
        <v>45955</v>
      </c>
      <c r="G11" s="17" t="inlineStr">
        <is>
          <t>Utkarsh</t>
        </is>
      </c>
      <c r="H11" s="10" t="n"/>
      <c r="I11" s="17" t="inlineStr">
        <is>
          <t>yes</t>
        </is>
      </c>
      <c r="J11" s="17" t="n">
        <v>65</v>
      </c>
      <c r="K11" s="10" t="n"/>
      <c r="L11" s="17" t="inlineStr">
        <is>
          <t>Q4-2025</t>
        </is>
      </c>
      <c r="M11" s="17" t="n">
        <v>31</v>
      </c>
    </row>
    <row r="12" ht="30" customHeight="1">
      <c r="A12" s="17" t="n">
        <v>27857</v>
      </c>
      <c r="B12" s="17" t="inlineStr">
        <is>
          <t>EPCs require part lists</t>
        </is>
      </c>
      <c r="C12" s="17" t="inlineStr">
        <is>
          <t>Resolved</t>
        </is>
      </c>
      <c r="D12" s="45" t="n">
        <v>45962</v>
      </c>
      <c r="E12" s="45" t="n">
        <v>45954</v>
      </c>
      <c r="F12" s="45" t="n">
        <v>45979</v>
      </c>
      <c r="G12" s="17" t="inlineStr">
        <is>
          <t>Utkarsh</t>
        </is>
      </c>
      <c r="H12" s="10" t="n"/>
      <c r="I12" s="17" t="inlineStr">
        <is>
          <t>yes</t>
        </is>
      </c>
      <c r="J12" s="17" t="n">
        <v>58</v>
      </c>
      <c r="K12" s="10" t="n"/>
      <c r="L12" s="17" t="inlineStr">
        <is>
          <t>Q4-2025</t>
        </is>
      </c>
      <c r="M12" s="17" t="n">
        <v>25</v>
      </c>
    </row>
    <row r="13">
      <c r="A13" s="17" t="n">
        <v>31247</v>
      </c>
      <c r="B13" s="17" t="inlineStr">
        <is>
          <t>VMRS Tab</t>
        </is>
      </c>
      <c r="C13" s="17" t="inlineStr">
        <is>
          <t>Closed</t>
        </is>
      </c>
      <c r="D13" s="45" t="n">
        <v>45962</v>
      </c>
      <c r="E13" s="45" t="n">
        <v>45948</v>
      </c>
      <c r="F13" s="45" t="n">
        <v>45980</v>
      </c>
      <c r="G13" s="17" t="inlineStr">
        <is>
          <t>Utkarsh</t>
        </is>
      </c>
      <c r="H13" s="10" t="n"/>
      <c r="I13" s="17" t="inlineStr">
        <is>
          <t>yes</t>
        </is>
      </c>
      <c r="J13" s="17" t="n">
        <v>63</v>
      </c>
      <c r="K13" s="10" t="n"/>
      <c r="L13" s="17" t="inlineStr">
        <is>
          <t>Q4-2025</t>
        </is>
      </c>
      <c r="M13" s="17" t="n">
        <v>32</v>
      </c>
    </row>
    <row r="14" ht="45" customHeight="1">
      <c r="A14" s="17" t="n">
        <v>27742</v>
      </c>
      <c r="B14" s="17" t="inlineStr">
        <is>
          <t>Part Lists have duplicate parts</t>
        </is>
      </c>
      <c r="C14" s="17" t="inlineStr">
        <is>
          <t>Closed</t>
        </is>
      </c>
      <c r="D14" s="45" t="n">
        <v>45962</v>
      </c>
      <c r="E14" s="45" t="n">
        <v>45948</v>
      </c>
      <c r="F14" s="45" t="n">
        <v>45981</v>
      </c>
      <c r="G14" s="17" t="inlineStr">
        <is>
          <t>Utkarsh</t>
        </is>
      </c>
      <c r="H14" s="17" t="inlineStr">
        <is>
          <t>yes</t>
        </is>
      </c>
      <c r="I14" s="10" t="n"/>
      <c r="J14" s="10" t="n"/>
      <c r="K14" s="17" t="n">
        <v>26</v>
      </c>
      <c r="L14" s="17" t="inlineStr">
        <is>
          <t>Q4-2025</t>
        </is>
      </c>
      <c r="M14" s="17" t="n">
        <v>33</v>
      </c>
    </row>
    <row r="15" ht="62.1" customHeight="1">
      <c r="A15" s="17" t="n">
        <v>18760</v>
      </c>
      <c r="B15" s="17" t="inlineStr">
        <is>
          <t>MDM - VIN-BOM Exception tool hanging up #2</t>
        </is>
      </c>
      <c r="C15" s="17" t="inlineStr">
        <is>
          <t>Closed</t>
        </is>
      </c>
      <c r="D15" s="45" t="n">
        <v>45962</v>
      </c>
      <c r="E15" s="45" t="n">
        <v>45953</v>
      </c>
      <c r="F15" s="45" t="n">
        <v>45982</v>
      </c>
      <c r="G15" s="17" t="inlineStr">
        <is>
          <t>Utkarsh</t>
        </is>
      </c>
      <c r="H15" s="10" t="n"/>
      <c r="I15" s="17" t="inlineStr">
        <is>
          <t>yes</t>
        </is>
      </c>
      <c r="J15" s="17" t="n">
        <v>57</v>
      </c>
      <c r="K15" s="10" t="n"/>
      <c r="L15" s="17" t="inlineStr">
        <is>
          <t>Q4-2025</t>
        </is>
      </c>
      <c r="M15" s="17" t="n">
        <v>29</v>
      </c>
    </row>
    <row r="16" ht="45" customHeight="1">
      <c r="A16" s="17" t="n">
        <v>24084</v>
      </c>
      <c r="B16" s="17" t="inlineStr">
        <is>
          <t>MDM - BOMs to service error message</t>
        </is>
      </c>
      <c r="C16" s="17" t="inlineStr">
        <is>
          <t>Closed</t>
        </is>
      </c>
      <c r="D16" s="45" t="n">
        <v>45992</v>
      </c>
      <c r="E16" s="45" t="n">
        <v>45981</v>
      </c>
      <c r="F16" s="45" t="n">
        <v>46012</v>
      </c>
      <c r="G16" s="17" t="inlineStr">
        <is>
          <t>Utkarsh</t>
        </is>
      </c>
      <c r="H16" s="10" t="n"/>
      <c r="I16" s="17" t="inlineStr">
        <is>
          <t>yes</t>
        </is>
      </c>
      <c r="J16" s="17" t="n">
        <v>90</v>
      </c>
      <c r="K16" s="10" t="n"/>
      <c r="L16" s="17" t="inlineStr">
        <is>
          <t>Q4-2025</t>
        </is>
      </c>
      <c r="M16" s="17" t="n">
        <v>31</v>
      </c>
    </row>
    <row r="17" ht="30" customHeight="1">
      <c r="A17" s="17" t="n">
        <v>23703</v>
      </c>
      <c r="B17" s="17" t="inlineStr">
        <is>
          <t>A2842007E023 BOM</t>
        </is>
      </c>
      <c r="C17" s="17" t="inlineStr">
        <is>
          <t>InProgress - Approver</t>
        </is>
      </c>
      <c r="D17" s="45" t="n">
        <v>45992</v>
      </c>
      <c r="E17" s="45" t="n">
        <v>45966</v>
      </c>
      <c r="F17" s="10" t="n"/>
      <c r="G17" s="17" t="inlineStr">
        <is>
          <t>Utkarsh</t>
        </is>
      </c>
      <c r="H17" s="10" t="n"/>
      <c r="I17" s="17" t="inlineStr">
        <is>
          <t>yes</t>
        </is>
      </c>
      <c r="J17" s="17" t="n">
        <v>96</v>
      </c>
      <c r="K17" s="10" t="n"/>
      <c r="L17" s="17" t="inlineStr">
        <is>
          <t>Q4-2025</t>
        </is>
      </c>
      <c r="M17" s="10" t="n"/>
    </row>
    <row r="18" ht="45" customHeight="1">
      <c r="A18" s="17" t="n">
        <v>28120</v>
      </c>
      <c r="B18" s="17" t="inlineStr">
        <is>
          <t>EPC - Missing structure from MDM</t>
        </is>
      </c>
      <c r="C18" s="17" t="inlineStr">
        <is>
          <t>InProgress</t>
        </is>
      </c>
      <c r="D18" s="45" t="n">
        <v>45962</v>
      </c>
      <c r="E18" s="45" t="n">
        <v>45955</v>
      </c>
      <c r="F18" s="10" t="n"/>
      <c r="G18" s="17" t="inlineStr">
        <is>
          <t>Utkarsh</t>
        </is>
      </c>
      <c r="H18" s="17" t="inlineStr">
        <is>
          <t>yes</t>
        </is>
      </c>
      <c r="I18" s="10" t="n"/>
      <c r="J18" s="10" t="n"/>
      <c r="K18" s="17" t="n">
        <v>25</v>
      </c>
      <c r="L18" s="17" t="inlineStr">
        <is>
          <t>Q4-2025</t>
        </is>
      </c>
      <c r="M18" s="10" t="n"/>
    </row>
  </sheetData>
  <hyperlinks>
    <hyperlink ref="A1" location="Utkarsh_OKR_Checklist!A1" display="Utkarsh_OKR_Checklist!A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4" customWidth="1" min="1" max="3"/>
  </cols>
  <sheetData>
    <row r="1" ht="30" customHeight="1">
      <c r="A1" s="19" t="inlineStr">
        <is>
          <t>Utkarsh_OKR_Checklist!A1</t>
        </is>
      </c>
      <c r="B1" s="3" t="n"/>
    </row>
    <row r="3" ht="17.45" customHeight="1">
      <c r="A3" s="34" t="inlineStr">
        <is>
          <t>Q4-2025 Summary</t>
        </is>
      </c>
    </row>
    <row r="5" ht="21.95" customHeight="1">
      <c r="A5" s="14" t="inlineStr">
        <is>
          <t>Metric</t>
        </is>
      </c>
      <c r="B5" s="14" t="inlineStr">
        <is>
          <t>Value</t>
        </is>
      </c>
      <c r="C5" s="14" t="inlineStr">
        <is>
          <t>Yes/No</t>
        </is>
      </c>
    </row>
    <row r="6">
      <c r="A6" s="17" t="inlineStr">
        <is>
          <t>Total tickets</t>
        </is>
      </c>
      <c r="B6" s="17" t="n">
        <v>13</v>
      </c>
    </row>
    <row r="7" ht="30" customHeight="1">
      <c r="A7" s="17" t="inlineStr">
        <is>
          <t>Closed/Resolved</t>
        </is>
      </c>
      <c r="B7" s="17" t="n">
        <v>11</v>
      </c>
      <c r="C7" s="27" t="inlineStr">
        <is>
          <t>Yes</t>
        </is>
      </c>
    </row>
    <row r="8">
      <c r="A8" s="17" t="inlineStr">
        <is>
          <t>Open / spill</t>
        </is>
      </c>
      <c r="B8" s="17" t="n">
        <v>2</v>
      </c>
      <c r="C8" s="27" t="inlineStr">
        <is>
          <t>Yes</t>
        </is>
      </c>
    </row>
    <row r="9">
      <c r="A9" s="17" t="inlineStr">
        <is>
          <t>Spill %</t>
        </is>
      </c>
      <c r="B9" s="17" t="n">
        <v>15.4</v>
      </c>
      <c r="C9" s="27" t="inlineStr">
        <is>
          <t>Yes</t>
        </is>
      </c>
    </row>
    <row r="10" ht="30" customHeight="1">
      <c r="A10" s="17" t="inlineStr">
        <is>
          <t>Code Change tickets</t>
        </is>
      </c>
      <c r="B10" s="17" t="n">
        <v>11</v>
      </c>
      <c r="C10" s="27" t="inlineStr">
        <is>
          <t>Yes</t>
        </is>
      </c>
    </row>
    <row r="11" ht="30" customHeight="1">
      <c r="A11" s="17" t="inlineStr">
        <is>
          <t>SP Change tickets</t>
        </is>
      </c>
      <c r="B11" s="17" t="n">
        <v>5</v>
      </c>
      <c r="C11" s="27" t="inlineStr">
        <is>
          <t>Yes</t>
        </is>
      </c>
    </row>
    <row r="12">
      <c r="A12" s="17" t="inlineStr">
        <is>
          <t>Code Lines</t>
        </is>
      </c>
      <c r="B12" s="17" t="n">
        <v>789</v>
      </c>
    </row>
    <row r="13">
      <c r="A13" s="17" t="inlineStr">
        <is>
          <t>SQL Lines</t>
        </is>
      </c>
      <c r="B13" s="17" t="n">
        <v>150</v>
      </c>
    </row>
    <row r="14" ht="30" customHeight="1">
      <c r="A14" s="17" t="inlineStr">
        <is>
          <t>Avg Cycle Days</t>
        </is>
      </c>
      <c r="B14" s="17" t="n">
        <v>29.4</v>
      </c>
      <c r="C14" s="27" t="inlineStr">
        <is>
          <t>Yes</t>
        </is>
      </c>
    </row>
    <row r="15" ht="30" customHeight="1">
      <c r="A15" s="17" t="inlineStr">
        <is>
          <t>Defect-theme proxy</t>
        </is>
      </c>
      <c r="B15" s="17" t="n">
        <v>2</v>
      </c>
      <c r="C15" s="27" t="inlineStr">
        <is>
          <t>Yes</t>
        </is>
      </c>
    </row>
    <row r="16" ht="30" customHeight="1">
      <c r="A16" s="17" t="inlineStr">
        <is>
          <t>Rework/reopen proxy</t>
        </is>
      </c>
      <c r="B16" s="17" t="n">
        <v>0</v>
      </c>
      <c r="C16" s="27" t="inlineStr">
        <is>
          <t>Yes</t>
        </is>
      </c>
    </row>
    <row r="17">
      <c r="A17" s="17" t="inlineStr">
        <is>
          <t>Quality gate</t>
        </is>
      </c>
      <c r="B17" s="17" t="inlineStr">
        <is>
          <t>Pass</t>
        </is>
      </c>
      <c r="C17" s="27" t="inlineStr">
        <is>
          <t>Yes</t>
        </is>
      </c>
    </row>
  </sheetData>
  <hyperlinks>
    <hyperlink ref="A1" location="Utkarsh_OKR_Checklist!A1" display="Utkarsh_OKR_Checklist!A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4" customWidth="1" min="1" max="5"/>
    <col width="15" customWidth="1" min="6" max="6"/>
    <col width="14" customWidth="1" min="7" max="9"/>
    <col width="21" customWidth="1" min="10" max="10"/>
    <col width="20" customWidth="1" min="11" max="11"/>
    <col width="14" customWidth="1" min="12" max="13"/>
  </cols>
  <sheetData>
    <row r="1" ht="30" customHeight="1">
      <c r="A1" s="19" t="inlineStr">
        <is>
          <t>Utkarsh_OKR_Checklist!A1</t>
        </is>
      </c>
      <c r="B1" s="3" t="n"/>
    </row>
    <row r="3" ht="17.45" customHeight="1">
      <c r="A3" s="34" t="inlineStr">
        <is>
          <t>Q1-2026 — ticket evidence pack</t>
        </is>
      </c>
    </row>
    <row r="5" ht="21.95" customHeight="1">
      <c r="A5" s="14" t="inlineStr">
        <is>
          <t>Ticket No.</t>
        </is>
      </c>
      <c r="B5" s="14" t="inlineStr">
        <is>
          <t>Description</t>
        </is>
      </c>
      <c r="C5" s="14" t="inlineStr">
        <is>
          <t>Status</t>
        </is>
      </c>
      <c r="D5" s="14" t="inlineStr">
        <is>
          <t>Month</t>
        </is>
      </c>
      <c r="E5" s="14" t="inlineStr">
        <is>
          <t>Assign Date</t>
        </is>
      </c>
      <c r="F5" s="14" t="inlineStr">
        <is>
          <t>Closure Date</t>
        </is>
      </c>
      <c r="G5" s="14" t="inlineStr">
        <is>
          <t>Owner</t>
        </is>
      </c>
      <c r="H5" s="14" t="inlineStr">
        <is>
          <t>SP Change</t>
        </is>
      </c>
      <c r="I5" s="14" t="inlineStr">
        <is>
          <t>Code Change</t>
        </is>
      </c>
      <c r="J5" s="14" t="inlineStr">
        <is>
          <t>Code Lines Changed</t>
        </is>
      </c>
      <c r="K5" s="14" t="inlineStr">
        <is>
          <t>SQL Lines Changed</t>
        </is>
      </c>
      <c r="L5" s="14" t="inlineStr">
        <is>
          <t>Quarter</t>
        </is>
      </c>
      <c r="M5" s="14" t="inlineStr">
        <is>
          <t>Cycle Days</t>
        </is>
      </c>
    </row>
    <row r="6" ht="60" customHeight="1">
      <c r="A6" s="17" t="n">
        <v>27879</v>
      </c>
      <c r="B6" s="17" t="inlineStr">
        <is>
          <t>BOMs to Service missing parent EPL</t>
        </is>
      </c>
      <c r="C6" s="17" t="inlineStr">
        <is>
          <t>Closed</t>
        </is>
      </c>
      <c r="D6" s="45" t="n">
        <v>46023</v>
      </c>
      <c r="E6" s="45" t="n">
        <v>46019</v>
      </c>
      <c r="F6" s="45" t="n">
        <v>46031</v>
      </c>
      <c r="G6" s="17" t="inlineStr">
        <is>
          <t>Utkarsh</t>
        </is>
      </c>
      <c r="H6" s="17" t="inlineStr">
        <is>
          <t>yes</t>
        </is>
      </c>
      <c r="I6" s="10" t="n"/>
      <c r="J6" s="10" t="n"/>
      <c r="K6" s="17" t="n">
        <v>18</v>
      </c>
      <c r="L6" s="17" t="inlineStr">
        <is>
          <t>Q1-2026</t>
        </is>
      </c>
      <c r="M6" s="17" t="n">
        <v>12</v>
      </c>
    </row>
    <row r="7" ht="30" customHeight="1">
      <c r="A7" s="17" t="n">
        <v>33371</v>
      </c>
      <c r="B7" s="17" t="inlineStr">
        <is>
          <t>EPC-Enhancement</t>
        </is>
      </c>
      <c r="C7" s="17" t="inlineStr">
        <is>
          <t>Closed</t>
        </is>
      </c>
      <c r="D7" s="45" t="n">
        <v>46023</v>
      </c>
      <c r="E7" s="45" t="n">
        <v>46010</v>
      </c>
      <c r="F7" s="45" t="n">
        <v>46039</v>
      </c>
      <c r="G7" s="17" t="inlineStr">
        <is>
          <t>Utkarsh</t>
        </is>
      </c>
      <c r="H7" s="17" t="inlineStr">
        <is>
          <t>yes</t>
        </is>
      </c>
      <c r="I7" s="17" t="inlineStr">
        <is>
          <t>yes</t>
        </is>
      </c>
      <c r="J7" s="17" t="n">
        <v>85</v>
      </c>
      <c r="K7" s="17" t="n">
        <v>39</v>
      </c>
      <c r="L7" s="17" t="inlineStr">
        <is>
          <t>Q1-2026</t>
        </is>
      </c>
      <c r="M7" s="17" t="n">
        <v>29</v>
      </c>
    </row>
    <row r="8" ht="60" customHeight="1">
      <c r="A8" s="17" t="n">
        <v>24196</v>
      </c>
      <c r="B8" s="17" t="inlineStr">
        <is>
          <t>EPC - Replaced by part shows up blank</t>
        </is>
      </c>
      <c r="C8" s="17" t="inlineStr">
        <is>
          <t>Closed</t>
        </is>
      </c>
      <c r="D8" s="45" t="n">
        <v>46054</v>
      </c>
      <c r="E8" s="45" t="n">
        <v>46032</v>
      </c>
      <c r="F8" s="45" t="n">
        <v>46072</v>
      </c>
      <c r="G8" s="17" t="inlineStr">
        <is>
          <t>Utkarsh</t>
        </is>
      </c>
      <c r="H8" s="10" t="n"/>
      <c r="I8" s="17" t="inlineStr">
        <is>
          <t>yes</t>
        </is>
      </c>
      <c r="J8" s="17" t="n">
        <v>95</v>
      </c>
      <c r="K8" s="10" t="n"/>
      <c r="L8" s="17" t="inlineStr">
        <is>
          <t>Q1-2026</t>
        </is>
      </c>
      <c r="M8" s="17" t="n">
        <v>40</v>
      </c>
    </row>
    <row r="9" ht="45" customHeight="1">
      <c r="A9" s="17" t="n">
        <v>28823</v>
      </c>
      <c r="B9" s="17" t="inlineStr">
        <is>
          <t>MDM - BOMs to Service quantity issue</t>
        </is>
      </c>
      <c r="C9" s="17" t="inlineStr">
        <is>
          <t>Closed</t>
        </is>
      </c>
      <c r="D9" s="45" t="n">
        <v>46054</v>
      </c>
      <c r="E9" s="45" t="n">
        <v>46041</v>
      </c>
      <c r="F9" s="45" t="n">
        <v>46075</v>
      </c>
      <c r="G9" s="17" t="inlineStr">
        <is>
          <t>Utkarsh</t>
        </is>
      </c>
      <c r="H9" s="10" t="n"/>
      <c r="I9" s="17" t="inlineStr">
        <is>
          <t>yes</t>
        </is>
      </c>
      <c r="J9" s="17" t="n">
        <v>97</v>
      </c>
      <c r="K9" s="10" t="n"/>
      <c r="L9" s="17" t="inlineStr">
        <is>
          <t>Q1-2026</t>
        </is>
      </c>
      <c r="M9" s="17" t="n">
        <v>34</v>
      </c>
    </row>
    <row r="10" ht="72" customHeight="1">
      <c r="A10" s="17" t="n">
        <v>32104</v>
      </c>
      <c r="B10" s="17" t="inlineStr">
        <is>
          <t>EPC - Replaced by part showing when it shouldn't</t>
        </is>
      </c>
      <c r="C10" s="17" t="inlineStr">
        <is>
          <t>Closed</t>
        </is>
      </c>
      <c r="D10" s="45" t="n">
        <v>46054</v>
      </c>
      <c r="E10" s="45" t="n">
        <v>46049</v>
      </c>
      <c r="F10" s="45" t="n">
        <v>46077</v>
      </c>
      <c r="G10" s="17" t="inlineStr">
        <is>
          <t>Utkarsh</t>
        </is>
      </c>
      <c r="H10" s="10" t="n"/>
      <c r="I10" s="17" t="inlineStr">
        <is>
          <t>yes</t>
        </is>
      </c>
      <c r="J10" s="17" t="n">
        <v>79</v>
      </c>
      <c r="K10" s="10" t="n"/>
      <c r="L10" s="17" t="inlineStr">
        <is>
          <t>Q1-2026</t>
        </is>
      </c>
      <c r="M10" s="17" t="n">
        <v>28</v>
      </c>
    </row>
    <row r="11" ht="30" customHeight="1">
      <c r="A11" s="17" t="n">
        <v>18851</v>
      </c>
      <c r="B11" s="17" t="inlineStr">
        <is>
          <t>Supplier Reports</t>
        </is>
      </c>
      <c r="C11" s="17" t="inlineStr">
        <is>
          <t>Closed</t>
        </is>
      </c>
      <c r="D11" s="45" t="n">
        <v>46082</v>
      </c>
      <c r="E11" s="45" t="n">
        <v>46064</v>
      </c>
      <c r="F11" s="45" t="n">
        <v>46099</v>
      </c>
      <c r="G11" s="17" t="inlineStr">
        <is>
          <t>Utkarsh</t>
        </is>
      </c>
      <c r="H11" s="10" t="n"/>
      <c r="I11" s="17" t="inlineStr">
        <is>
          <t>yes</t>
        </is>
      </c>
      <c r="J11" s="17" t="n">
        <v>92</v>
      </c>
      <c r="K11" s="10" t="n"/>
      <c r="L11" s="17" t="inlineStr">
        <is>
          <t>Q1-2026</t>
        </is>
      </c>
      <c r="M11" s="17" t="n">
        <v>35</v>
      </c>
    </row>
    <row r="12" ht="45" customHeight="1">
      <c r="A12" s="17" t="n">
        <v>26757</v>
      </c>
      <c r="B12" s="17" t="inlineStr">
        <is>
          <t>Incorrect quantity on Part List Page</t>
        </is>
      </c>
      <c r="C12" s="17" t="inlineStr">
        <is>
          <t>RESOLVED</t>
        </is>
      </c>
      <c r="D12" s="45" t="n">
        <v>46082</v>
      </c>
      <c r="E12" s="45" t="n">
        <v>46056</v>
      </c>
      <c r="F12" s="45" t="n">
        <v>46110</v>
      </c>
      <c r="G12" s="17" t="inlineStr">
        <is>
          <t>Utkarsh</t>
        </is>
      </c>
      <c r="H12" s="17" t="inlineStr">
        <is>
          <t>yes</t>
        </is>
      </c>
      <c r="I12" s="10" t="n"/>
      <c r="J12" s="10" t="n"/>
      <c r="K12" s="17" t="n">
        <v>26</v>
      </c>
      <c r="L12" s="17" t="inlineStr">
        <is>
          <t>Q1-2026</t>
        </is>
      </c>
      <c r="M12" s="17" t="n">
        <v>54</v>
      </c>
    </row>
    <row r="13" ht="72" customHeight="1">
      <c r="A13" s="17" t="n">
        <v>21546</v>
      </c>
      <c r="B13" s="17" t="inlineStr">
        <is>
          <t>Reporting - PRAC Parts Master - New Parts Loaded</t>
        </is>
      </c>
      <c r="C13" s="17" t="inlineStr">
        <is>
          <t>InProgress</t>
        </is>
      </c>
      <c r="D13" s="45" t="n">
        <v>46082</v>
      </c>
      <c r="E13" s="45" t="n">
        <v>46070</v>
      </c>
      <c r="F13" s="10" t="n"/>
      <c r="G13" s="17" t="inlineStr">
        <is>
          <t>Utkarsh</t>
        </is>
      </c>
      <c r="H13" s="17" t="inlineStr">
        <is>
          <t>yes</t>
        </is>
      </c>
      <c r="I13" s="10" t="n"/>
      <c r="J13" s="10" t="n"/>
      <c r="K13" s="17" t="n">
        <v>32</v>
      </c>
      <c r="L13" s="17" t="inlineStr">
        <is>
          <t>Q1-2026</t>
        </is>
      </c>
      <c r="M13" s="10" t="n"/>
    </row>
  </sheetData>
  <hyperlinks>
    <hyperlink ref="A1" location="Utkarsh_OKR_Checklist!A1" display="Utkarsh_OKR_Checklist!A1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4" customWidth="1" min="1" max="3"/>
  </cols>
  <sheetData>
    <row r="1" ht="30" customHeight="1">
      <c r="A1" s="19" t="inlineStr">
        <is>
          <t>Utkarsh_OKR_Checklist!A1</t>
        </is>
      </c>
      <c r="B1" s="3" t="n"/>
    </row>
    <row r="3" ht="17.45" customHeight="1">
      <c r="A3" s="34" t="inlineStr">
        <is>
          <t>Q1-2026 Summary</t>
        </is>
      </c>
    </row>
    <row r="5" ht="21.95" customHeight="1">
      <c r="A5" s="14" t="inlineStr">
        <is>
          <t>Metric</t>
        </is>
      </c>
      <c r="B5" s="14" t="inlineStr">
        <is>
          <t>Value</t>
        </is>
      </c>
      <c r="C5" s="14" t="inlineStr">
        <is>
          <t>Yes/No</t>
        </is>
      </c>
    </row>
    <row r="6">
      <c r="A6" s="17" t="inlineStr">
        <is>
          <t>Total tickets</t>
        </is>
      </c>
      <c r="B6" s="17" t="n">
        <v>8</v>
      </c>
    </row>
    <row r="7" ht="30" customHeight="1">
      <c r="A7" s="17" t="inlineStr">
        <is>
          <t>Closed/Resolved</t>
        </is>
      </c>
      <c r="B7" s="17" t="n">
        <v>7</v>
      </c>
      <c r="C7" s="27" t="inlineStr">
        <is>
          <t>Yes</t>
        </is>
      </c>
    </row>
    <row r="8">
      <c r="A8" s="17" t="inlineStr">
        <is>
          <t>Open / spill</t>
        </is>
      </c>
      <c r="B8" s="17" t="n">
        <v>1</v>
      </c>
      <c r="C8" s="27" t="inlineStr">
        <is>
          <t>Yes</t>
        </is>
      </c>
    </row>
    <row r="9">
      <c r="A9" s="17" t="inlineStr">
        <is>
          <t>Spill %</t>
        </is>
      </c>
      <c r="B9" s="17" t="n">
        <v>12.5</v>
      </c>
      <c r="C9" s="27" t="inlineStr">
        <is>
          <t>Yes</t>
        </is>
      </c>
    </row>
    <row r="10" ht="30" customHeight="1">
      <c r="A10" s="17" t="inlineStr">
        <is>
          <t>Code Change tickets</t>
        </is>
      </c>
      <c r="B10" s="17" t="n">
        <v>5</v>
      </c>
      <c r="C10" s="27" t="inlineStr">
        <is>
          <t>Yes</t>
        </is>
      </c>
    </row>
    <row r="11" ht="30" customHeight="1">
      <c r="A11" s="17" t="inlineStr">
        <is>
          <t>SP Change tickets</t>
        </is>
      </c>
      <c r="B11" s="17" t="n">
        <v>4</v>
      </c>
      <c r="C11" s="27" t="inlineStr">
        <is>
          <t>Yes</t>
        </is>
      </c>
    </row>
    <row r="12">
      <c r="A12" s="17" t="inlineStr">
        <is>
          <t>Code Lines</t>
        </is>
      </c>
      <c r="B12" s="17" t="n">
        <v>448</v>
      </c>
    </row>
    <row r="13">
      <c r="A13" s="17" t="inlineStr">
        <is>
          <t>SQL Lines</t>
        </is>
      </c>
      <c r="B13" s="17" t="n">
        <v>115</v>
      </c>
    </row>
    <row r="14" ht="30" customHeight="1">
      <c r="A14" s="17" t="inlineStr">
        <is>
          <t>Avg Cycle Days</t>
        </is>
      </c>
      <c r="B14" s="17" t="n">
        <v>33.1</v>
      </c>
      <c r="C14" s="27" t="inlineStr">
        <is>
          <t>Yes</t>
        </is>
      </c>
    </row>
    <row r="15" ht="30" customHeight="1">
      <c r="A15" s="17" t="inlineStr">
        <is>
          <t>Defect-theme proxy</t>
        </is>
      </c>
      <c r="B15" s="17" t="n">
        <v>1</v>
      </c>
      <c r="C15" s="27" t="inlineStr">
        <is>
          <t>Yes</t>
        </is>
      </c>
    </row>
    <row r="16" ht="30" customHeight="1">
      <c r="A16" s="17" t="inlineStr">
        <is>
          <t>Rework/reopen proxy</t>
        </is>
      </c>
      <c r="B16" s="17" t="n">
        <v>0</v>
      </c>
      <c r="C16" s="27" t="inlineStr">
        <is>
          <t>Yes</t>
        </is>
      </c>
    </row>
    <row r="17">
      <c r="A17" s="17" t="inlineStr">
        <is>
          <t>Quality gate</t>
        </is>
      </c>
      <c r="B17" s="17" t="inlineStr">
        <is>
          <t>Pass</t>
        </is>
      </c>
      <c r="C17" s="27" t="inlineStr">
        <is>
          <t>Yes</t>
        </is>
      </c>
    </row>
  </sheetData>
  <hyperlinks>
    <hyperlink ref="A1" location="Utkarsh_OKR_Checklist!A1" display="Utkarsh_OKR_Checklist!A1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14" customWidth="1" min="1" max="5"/>
    <col width="15" customWidth="1" min="6" max="6"/>
    <col width="14" customWidth="1" min="7" max="9"/>
    <col width="21" customWidth="1" min="10" max="10"/>
    <col width="20" customWidth="1" min="11" max="11"/>
    <col width="14" customWidth="1" min="12" max="13"/>
  </cols>
  <sheetData>
    <row r="1" ht="30" customHeight="1">
      <c r="A1" s="19" t="inlineStr">
        <is>
          <t>Utkarsh_OKR_Checklist!A1</t>
        </is>
      </c>
      <c r="B1" s="3" t="n"/>
    </row>
    <row r="3" ht="17.45" customHeight="1">
      <c r="A3" s="34" t="inlineStr">
        <is>
          <t>Q2-2026 — ticket evidence pack</t>
        </is>
      </c>
    </row>
    <row r="5" ht="21.95" customHeight="1">
      <c r="A5" s="14" t="inlineStr">
        <is>
          <t>Ticket No.</t>
        </is>
      </c>
      <c r="B5" s="14" t="inlineStr">
        <is>
          <t>Description</t>
        </is>
      </c>
      <c r="C5" s="14" t="inlineStr">
        <is>
          <t>Status</t>
        </is>
      </c>
      <c r="D5" s="14" t="inlineStr">
        <is>
          <t>Month</t>
        </is>
      </c>
      <c r="E5" s="14" t="inlineStr">
        <is>
          <t>Assign Date</t>
        </is>
      </c>
      <c r="F5" s="14" t="inlineStr">
        <is>
          <t>Closure Date</t>
        </is>
      </c>
      <c r="G5" s="14" t="inlineStr">
        <is>
          <t>Owner</t>
        </is>
      </c>
      <c r="H5" s="14" t="inlineStr">
        <is>
          <t>SP Change</t>
        </is>
      </c>
      <c r="I5" s="14" t="inlineStr">
        <is>
          <t>Code Change</t>
        </is>
      </c>
      <c r="J5" s="14" t="inlineStr">
        <is>
          <t>Code Lines Changed</t>
        </is>
      </c>
      <c r="K5" s="14" t="inlineStr">
        <is>
          <t>SQL Lines Changed</t>
        </is>
      </c>
      <c r="L5" s="14" t="inlineStr">
        <is>
          <t>Quarter</t>
        </is>
      </c>
      <c r="M5" s="14" t="inlineStr">
        <is>
          <t>Cycle Days</t>
        </is>
      </c>
    </row>
    <row r="6" ht="30" customHeight="1">
      <c r="A6" s="17" t="n">
        <v>23410</v>
      </c>
      <c r="B6" s="17" t="inlineStr">
        <is>
          <t>MDM - BOMs to service show duplicates</t>
        </is>
      </c>
      <c r="C6" s="17" t="inlineStr">
        <is>
          <t>RESOLVED</t>
        </is>
      </c>
      <c r="D6" s="45" t="n">
        <v>46113</v>
      </c>
      <c r="E6" s="45" t="n">
        <v>46089</v>
      </c>
      <c r="F6" s="45" t="n">
        <v>46117</v>
      </c>
      <c r="G6" s="17" t="inlineStr">
        <is>
          <t>Utkarsh</t>
        </is>
      </c>
      <c r="H6" s="17" t="inlineStr">
        <is>
          <t>yes</t>
        </is>
      </c>
      <c r="I6" s="10" t="n"/>
      <c r="J6" s="10" t="n"/>
      <c r="K6" s="17" t="n">
        <v>20</v>
      </c>
      <c r="L6" s="17" t="inlineStr">
        <is>
          <t>Q2-2026</t>
        </is>
      </c>
      <c r="M6" s="17" t="n">
        <v>28</v>
      </c>
    </row>
    <row r="7" ht="30" customHeight="1">
      <c r="A7" s="17" t="n">
        <v>27702</v>
      </c>
      <c r="B7" s="17" t="inlineStr">
        <is>
          <t>EPC Parts List incomplete</t>
        </is>
      </c>
      <c r="C7" s="17" t="inlineStr">
        <is>
          <t>Closed</t>
        </is>
      </c>
      <c r="D7" s="45" t="n">
        <v>46113</v>
      </c>
      <c r="E7" s="45" t="n">
        <v>46089</v>
      </c>
      <c r="F7" s="45" t="n">
        <v>46122</v>
      </c>
      <c r="G7" s="17" t="inlineStr">
        <is>
          <t>Utkarsh</t>
        </is>
      </c>
      <c r="H7" s="17" t="inlineStr">
        <is>
          <t>yes</t>
        </is>
      </c>
      <c r="I7" s="10" t="n"/>
      <c r="J7" s="10" t="n"/>
      <c r="K7" s="17" t="n">
        <v>39</v>
      </c>
      <c r="L7" s="17" t="inlineStr">
        <is>
          <t>Q2-2026</t>
        </is>
      </c>
      <c r="M7" s="17" t="n">
        <v>33</v>
      </c>
    </row>
    <row r="8" ht="30" customHeight="1">
      <c r="A8" s="17" t="n">
        <v>35294</v>
      </c>
      <c r="B8" s="17" t="inlineStr">
        <is>
          <t>EPC - Wrong model year</t>
        </is>
      </c>
      <c r="C8" s="17" t="inlineStr">
        <is>
          <t>Closed</t>
        </is>
      </c>
      <c r="D8" s="45" t="n">
        <v>46113</v>
      </c>
      <c r="E8" s="45" t="n">
        <v>46088</v>
      </c>
      <c r="F8" s="45" t="n">
        <v>46124</v>
      </c>
      <c r="G8" s="17" t="inlineStr">
        <is>
          <t>Utkarsh</t>
        </is>
      </c>
      <c r="H8" s="17" t="inlineStr">
        <is>
          <t>yes</t>
        </is>
      </c>
      <c r="I8" s="17" t="inlineStr">
        <is>
          <t>yes</t>
        </is>
      </c>
      <c r="J8" s="17" t="n">
        <v>87</v>
      </c>
      <c r="K8" s="17" t="n">
        <v>31</v>
      </c>
      <c r="L8" s="17" t="inlineStr">
        <is>
          <t>Q2-2026</t>
        </is>
      </c>
      <c r="M8" s="17" t="n">
        <v>36</v>
      </c>
    </row>
    <row r="9" ht="30" customHeight="1">
      <c r="A9" s="17" t="n">
        <v>39384</v>
      </c>
      <c r="B9" s="17" t="inlineStr">
        <is>
          <t>Service EPC slow</t>
        </is>
      </c>
      <c r="C9" s="17" t="inlineStr">
        <is>
          <t>Closed</t>
        </is>
      </c>
      <c r="D9" s="45" t="n">
        <v>46143</v>
      </c>
      <c r="E9" s="45" t="n">
        <v>46138</v>
      </c>
      <c r="F9" s="45" t="n">
        <v>46146</v>
      </c>
      <c r="G9" s="17" t="inlineStr">
        <is>
          <t>Utkarsh</t>
        </is>
      </c>
      <c r="H9" s="10" t="n"/>
      <c r="I9" s="17" t="inlineStr">
        <is>
          <t>yes</t>
        </is>
      </c>
      <c r="J9" s="17" t="n">
        <v>99</v>
      </c>
      <c r="K9" s="10" t="n"/>
      <c r="L9" s="17" t="inlineStr">
        <is>
          <t>Q2-2026</t>
        </is>
      </c>
      <c r="M9" s="17" t="n">
        <v>8</v>
      </c>
    </row>
    <row r="10" ht="45" customHeight="1">
      <c r="A10" s="17" t="n">
        <v>38145</v>
      </c>
      <c r="B10" s="17" t="inlineStr">
        <is>
          <t>A7352001E129 Part Discrepancy</t>
        </is>
      </c>
      <c r="C10" s="17" t="inlineStr">
        <is>
          <t>Closed</t>
        </is>
      </c>
      <c r="D10" s="45" t="n">
        <v>46143</v>
      </c>
      <c r="E10" s="45" t="n">
        <v>46122</v>
      </c>
      <c r="F10" s="45" t="n">
        <v>46151</v>
      </c>
      <c r="G10" s="17" t="inlineStr">
        <is>
          <t>Utkarsh</t>
        </is>
      </c>
      <c r="H10" s="17" t="inlineStr">
        <is>
          <t>yes</t>
        </is>
      </c>
      <c r="I10" s="17" t="inlineStr">
        <is>
          <t>yes</t>
        </is>
      </c>
      <c r="J10" s="17" t="n">
        <v>70</v>
      </c>
      <c r="K10" s="17" t="n">
        <v>45</v>
      </c>
      <c r="L10" s="17" t="inlineStr">
        <is>
          <t>Q2-2026</t>
        </is>
      </c>
      <c r="M10" s="17" t="n">
        <v>29</v>
      </c>
    </row>
    <row r="11" ht="72" customHeight="1">
      <c r="A11" s="17" t="n">
        <v>8822</v>
      </c>
      <c r="B11" s="17" t="inlineStr">
        <is>
          <t>Quality SCAR Credit Memo Request Error / Brian Lowe - Help</t>
        </is>
      </c>
      <c r="C11" s="17" t="inlineStr">
        <is>
          <t>Closed</t>
        </is>
      </c>
      <c r="D11" s="45" t="n">
        <v>46143</v>
      </c>
      <c r="E11" s="45" t="n">
        <v>46138</v>
      </c>
      <c r="F11" s="45" t="n">
        <v>46162</v>
      </c>
      <c r="G11" s="17" t="inlineStr">
        <is>
          <t>Utkarsh</t>
        </is>
      </c>
      <c r="H11" s="17" t="inlineStr">
        <is>
          <t>yes</t>
        </is>
      </c>
      <c r="I11" s="17" t="inlineStr">
        <is>
          <t>yes</t>
        </is>
      </c>
      <c r="J11" s="17" t="n">
        <v>47</v>
      </c>
      <c r="K11" s="17" t="n">
        <v>19</v>
      </c>
      <c r="L11" s="17" t="inlineStr">
        <is>
          <t>Q2-2026</t>
        </is>
      </c>
      <c r="M11" s="17" t="n">
        <v>24</v>
      </c>
    </row>
    <row r="12" ht="45" customHeight="1">
      <c r="A12" s="17" t="n">
        <v>26664</v>
      </c>
      <c r="B12" s="17" t="inlineStr">
        <is>
          <t>3 More Boms with Duplicate Parts</t>
        </is>
      </c>
      <c r="C12" s="17" t="inlineStr">
        <is>
          <t>RESOLVED</t>
        </is>
      </c>
      <c r="D12" s="45" t="n">
        <v>46143</v>
      </c>
      <c r="E12" s="45" t="n">
        <v>46123</v>
      </c>
      <c r="F12" s="45" t="n">
        <v>46163</v>
      </c>
      <c r="G12" s="17" t="inlineStr">
        <is>
          <t>Utkarsh</t>
        </is>
      </c>
      <c r="H12" s="17" t="inlineStr">
        <is>
          <t>yes</t>
        </is>
      </c>
      <c r="I12" s="10" t="n"/>
      <c r="J12" s="10" t="n"/>
      <c r="K12" s="17" t="n">
        <v>36</v>
      </c>
      <c r="L12" s="17" t="inlineStr">
        <is>
          <t>Q2-2026</t>
        </is>
      </c>
      <c r="M12" s="17" t="n">
        <v>40</v>
      </c>
    </row>
    <row r="13" ht="72" customHeight="1">
      <c r="A13" s="17" t="n">
        <v>36560</v>
      </c>
      <c r="B13" s="17" t="inlineStr">
        <is>
          <t>Autocar EPC is making unnecessary calls to get part price &amp; inventory</t>
        </is>
      </c>
      <c r="C13" s="17" t="inlineStr">
        <is>
          <t>Closed</t>
        </is>
      </c>
      <c r="D13" s="45" t="n">
        <v>46143</v>
      </c>
      <c r="E13" s="45" t="n">
        <v>46130</v>
      </c>
      <c r="F13" s="45" t="n">
        <v>46165</v>
      </c>
      <c r="G13" s="17" t="inlineStr">
        <is>
          <t>Utkarsh</t>
        </is>
      </c>
      <c r="H13" s="17" t="inlineStr">
        <is>
          <t>yes</t>
        </is>
      </c>
      <c r="I13" s="10" t="n"/>
      <c r="J13" s="10" t="n"/>
      <c r="K13" s="17" t="n">
        <v>24</v>
      </c>
      <c r="L13" s="17" t="inlineStr">
        <is>
          <t>Q2-2026</t>
        </is>
      </c>
      <c r="M13" s="17" t="n">
        <v>35</v>
      </c>
    </row>
    <row r="14">
      <c r="A14" s="17" t="n">
        <v>33631</v>
      </c>
      <c r="B14" s="17" t="inlineStr">
        <is>
          <t>Vin. 247741</t>
        </is>
      </c>
      <c r="C14" s="17" t="inlineStr">
        <is>
          <t>Closed</t>
        </is>
      </c>
      <c r="D14" s="45" t="n">
        <v>46143</v>
      </c>
      <c r="E14" s="45" t="n">
        <v>46140</v>
      </c>
      <c r="F14" s="45" t="n">
        <v>46168</v>
      </c>
      <c r="G14" s="17" t="inlineStr">
        <is>
          <t>Utkarsh</t>
        </is>
      </c>
      <c r="H14" s="10" t="n"/>
      <c r="I14" s="17" t="inlineStr">
        <is>
          <t>yes</t>
        </is>
      </c>
      <c r="J14" s="17" t="n">
        <v>70</v>
      </c>
      <c r="K14" s="10" t="n"/>
      <c r="L14" s="17" t="inlineStr">
        <is>
          <t>Q2-2026</t>
        </is>
      </c>
      <c r="M14" s="17" t="n">
        <v>28</v>
      </c>
    </row>
    <row r="15" ht="45" customHeight="1">
      <c r="A15" s="17" t="n">
        <v>19454</v>
      </c>
      <c r="B15" s="17" t="inlineStr">
        <is>
          <t>A3701022B002 BOM EPC ISSUE</t>
        </is>
      </c>
      <c r="C15" s="17" t="inlineStr">
        <is>
          <t>Closed</t>
        </is>
      </c>
      <c r="D15" s="45" t="n">
        <v>46174</v>
      </c>
      <c r="E15" s="45" t="n">
        <v>46160</v>
      </c>
      <c r="F15" s="45" t="n">
        <v>46179</v>
      </c>
      <c r="G15" s="17" t="inlineStr">
        <is>
          <t>Utkarsh</t>
        </is>
      </c>
      <c r="H15" s="17" t="inlineStr">
        <is>
          <t>yes</t>
        </is>
      </c>
      <c r="I15" s="10" t="n"/>
      <c r="J15" s="10" t="n"/>
      <c r="K15" s="17" t="n">
        <v>16</v>
      </c>
      <c r="L15" s="17" t="inlineStr">
        <is>
          <t>Q2-2026</t>
        </is>
      </c>
      <c r="M15" s="17" t="n">
        <v>19</v>
      </c>
    </row>
    <row r="16" ht="62.1" customHeight="1">
      <c r="A16" s="17" t="n">
        <v>38146</v>
      </c>
      <c r="B16" s="17" t="inlineStr">
        <is>
          <t>A87B0001E001 Update EPC website part list</t>
        </is>
      </c>
      <c r="C16" s="17" t="inlineStr">
        <is>
          <t>Closed</t>
        </is>
      </c>
      <c r="D16" s="45" t="n">
        <v>46174</v>
      </c>
      <c r="E16" s="45" t="n">
        <v>46168</v>
      </c>
      <c r="F16" s="45" t="n">
        <v>46186</v>
      </c>
      <c r="G16" s="17" t="inlineStr">
        <is>
          <t>Utkarsh</t>
        </is>
      </c>
      <c r="H16" s="17" t="inlineStr">
        <is>
          <t>yes</t>
        </is>
      </c>
      <c r="I16" s="10" t="n"/>
      <c r="J16" s="10" t="n"/>
      <c r="K16" s="17" t="n">
        <v>25</v>
      </c>
      <c r="L16" s="17" t="inlineStr">
        <is>
          <t>Q2-2026</t>
        </is>
      </c>
      <c r="M16" s="17" t="n">
        <v>18</v>
      </c>
    </row>
    <row r="17" ht="30" customHeight="1">
      <c r="A17" s="17" t="n">
        <v>16609</v>
      </c>
      <c r="B17" s="17" t="inlineStr">
        <is>
          <t>Multiple Parts AE025500E006</t>
        </is>
      </c>
      <c r="C17" s="17" t="inlineStr">
        <is>
          <t>Closed</t>
        </is>
      </c>
      <c r="D17" s="45" t="n">
        <v>46174</v>
      </c>
      <c r="E17" s="45" t="n">
        <v>46161</v>
      </c>
      <c r="F17" s="45" t="n">
        <v>46187</v>
      </c>
      <c r="G17" s="17" t="inlineStr">
        <is>
          <t>Utkarsh</t>
        </is>
      </c>
      <c r="H17" s="17" t="inlineStr">
        <is>
          <t>yes</t>
        </is>
      </c>
      <c r="I17" s="10" t="n"/>
      <c r="J17" s="10" t="n"/>
      <c r="K17" s="17" t="n">
        <v>26</v>
      </c>
      <c r="L17" s="17" t="inlineStr">
        <is>
          <t>Q2-2026</t>
        </is>
      </c>
      <c r="M17" s="17" t="n">
        <v>26</v>
      </c>
    </row>
    <row r="18" ht="30" customHeight="1">
      <c r="A18" s="17" t="n">
        <v>30159</v>
      </c>
      <c r="B18" s="17" t="inlineStr">
        <is>
          <t>A8722500E002 EPC Parts list incomplete</t>
        </is>
      </c>
      <c r="C18" s="17" t="inlineStr">
        <is>
          <t>Closed</t>
        </is>
      </c>
      <c r="D18" s="45" t="n">
        <v>46174</v>
      </c>
      <c r="E18" s="45" t="n">
        <v>46147</v>
      </c>
      <c r="F18" s="45" t="n">
        <v>46190</v>
      </c>
      <c r="G18" s="17" t="inlineStr">
        <is>
          <t>Utkarsh</t>
        </is>
      </c>
      <c r="H18" s="17" t="inlineStr">
        <is>
          <t>yes</t>
        </is>
      </c>
      <c r="I18" s="10" t="n"/>
      <c r="J18" s="10" t="n"/>
      <c r="K18" s="17" t="n">
        <v>37</v>
      </c>
      <c r="L18" s="17" t="inlineStr">
        <is>
          <t>Q2-2026</t>
        </is>
      </c>
      <c r="M18" s="17" t="n">
        <v>43</v>
      </c>
    </row>
    <row r="19" ht="45" customHeight="1">
      <c r="A19" s="17" t="n">
        <v>31307</v>
      </c>
      <c r="B19" s="17" t="inlineStr">
        <is>
          <t>Latest rev/seq not showing in EPC</t>
        </is>
      </c>
      <c r="C19" s="17" t="inlineStr">
        <is>
          <t>Closed</t>
        </is>
      </c>
      <c r="D19" s="45" t="n">
        <v>46174</v>
      </c>
      <c r="E19" s="45" t="n">
        <v>46166</v>
      </c>
      <c r="F19" s="45" t="n">
        <v>46193</v>
      </c>
      <c r="G19" s="17" t="inlineStr">
        <is>
          <t>Utkarsh</t>
        </is>
      </c>
      <c r="H19" s="10" t="n"/>
      <c r="I19" s="17" t="inlineStr">
        <is>
          <t>yes</t>
        </is>
      </c>
      <c r="J19" s="17" t="n">
        <v>85</v>
      </c>
      <c r="K19" s="10" t="n"/>
      <c r="L19" s="17" t="inlineStr">
        <is>
          <t>Q2-2026</t>
        </is>
      </c>
      <c r="M19" s="17" t="n">
        <v>27</v>
      </c>
    </row>
    <row r="20" ht="45" customHeight="1">
      <c r="A20" s="17" t="n">
        <v>3575</v>
      </c>
      <c r="B20" s="17" t="inlineStr">
        <is>
          <t>Supplier Report Card - No Updates</t>
        </is>
      </c>
      <c r="C20" s="17" t="inlineStr">
        <is>
          <t>Closed</t>
        </is>
      </c>
      <c r="D20" s="45" t="n">
        <v>46174</v>
      </c>
      <c r="E20" s="45" t="n">
        <v>46169</v>
      </c>
      <c r="F20" s="45" t="n">
        <v>46195</v>
      </c>
      <c r="G20" s="17" t="inlineStr">
        <is>
          <t>Utkarsh</t>
        </is>
      </c>
      <c r="H20" s="17" t="inlineStr">
        <is>
          <t>yes</t>
        </is>
      </c>
      <c r="I20" s="17" t="inlineStr">
        <is>
          <t>yes</t>
        </is>
      </c>
      <c r="J20" s="17" t="n">
        <v>98</v>
      </c>
      <c r="K20" s="17" t="n">
        <v>45</v>
      </c>
      <c r="L20" s="17" t="inlineStr">
        <is>
          <t>Q2-2026</t>
        </is>
      </c>
      <c r="M20" s="17" t="n">
        <v>26</v>
      </c>
    </row>
    <row r="21" ht="30" customHeight="1">
      <c r="A21" s="17" t="n">
        <v>41202</v>
      </c>
      <c r="B21" s="17" t="inlineStr">
        <is>
          <t>Unable to Check Out EPC-513_5100E001</t>
        </is>
      </c>
      <c r="C21" s="17" t="inlineStr">
        <is>
          <t>Closed</t>
        </is>
      </c>
      <c r="D21" s="45" t="n">
        <v>46174</v>
      </c>
      <c r="E21" s="45" t="n">
        <v>46156</v>
      </c>
      <c r="F21" s="45" t="n">
        <v>46195</v>
      </c>
      <c r="G21" s="17" t="inlineStr">
        <is>
          <t>Utkarsh</t>
        </is>
      </c>
      <c r="H21" s="10" t="n"/>
      <c r="I21" s="17" t="inlineStr">
        <is>
          <t>yes</t>
        </is>
      </c>
      <c r="J21" s="17" t="n">
        <v>95</v>
      </c>
      <c r="K21" s="10" t="n"/>
      <c r="L21" s="17" t="inlineStr">
        <is>
          <t>Q2-2026</t>
        </is>
      </c>
      <c r="M21" s="17" t="n">
        <v>39</v>
      </c>
    </row>
    <row r="22" ht="60" customHeight="1">
      <c r="A22" s="17" t="n">
        <v>16146</v>
      </c>
      <c r="B22" s="17" t="inlineStr">
        <is>
          <t>MDM - BOMs to service structure issue</t>
        </is>
      </c>
      <c r="C22" s="17" t="inlineStr">
        <is>
          <t>OnHold</t>
        </is>
      </c>
      <c r="D22" s="45" t="n">
        <v>46113</v>
      </c>
      <c r="E22" s="45" t="n">
        <v>46087</v>
      </c>
      <c r="F22" s="10" t="n"/>
      <c r="G22" s="17" t="inlineStr">
        <is>
          <t>Utkarsh</t>
        </is>
      </c>
      <c r="H22" s="17" t="inlineStr">
        <is>
          <t>yes</t>
        </is>
      </c>
      <c r="I22" s="10" t="n"/>
      <c r="J22" s="10" t="n"/>
      <c r="K22" s="17" t="n">
        <v>33</v>
      </c>
      <c r="L22" s="17" t="inlineStr">
        <is>
          <t>Q2-2026</t>
        </is>
      </c>
      <c r="M22" s="10" t="n"/>
    </row>
  </sheetData>
  <hyperlinks>
    <hyperlink ref="A1" location="Utkarsh_OKR_Checklist!A1" display="Utkarsh_OKR_Checklist!A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4" customWidth="1" min="1" max="3"/>
  </cols>
  <sheetData>
    <row r="1" ht="30" customHeight="1">
      <c r="A1" s="19" t="inlineStr">
        <is>
          <t>Utkarsh_OKR_Checklist!A1</t>
        </is>
      </c>
      <c r="B1" s="3" t="n"/>
    </row>
    <row r="3" ht="17.45" customHeight="1">
      <c r="A3" s="34" t="inlineStr">
        <is>
          <t>Q2-2026 Summary</t>
        </is>
      </c>
    </row>
    <row r="5" ht="21.95" customHeight="1">
      <c r="A5" s="14" t="inlineStr">
        <is>
          <t>Metric</t>
        </is>
      </c>
      <c r="B5" s="14" t="inlineStr">
        <is>
          <t>Value</t>
        </is>
      </c>
      <c r="C5" s="14" t="inlineStr">
        <is>
          <t>Yes/No</t>
        </is>
      </c>
    </row>
    <row r="6">
      <c r="A6" s="17" t="inlineStr">
        <is>
          <t>Total tickets</t>
        </is>
      </c>
      <c r="B6" s="17" t="n">
        <v>17</v>
      </c>
    </row>
    <row r="7" ht="30" customHeight="1">
      <c r="A7" s="17" t="inlineStr">
        <is>
          <t>Closed/Resolved</t>
        </is>
      </c>
      <c r="B7" s="17" t="n">
        <v>16</v>
      </c>
      <c r="C7" s="27" t="inlineStr">
        <is>
          <t>Yes</t>
        </is>
      </c>
    </row>
    <row r="8">
      <c r="A8" s="17" t="inlineStr">
        <is>
          <t>Open / spill</t>
        </is>
      </c>
      <c r="B8" s="17" t="n">
        <v>1</v>
      </c>
      <c r="C8" s="27" t="inlineStr">
        <is>
          <t>Yes</t>
        </is>
      </c>
    </row>
    <row r="9">
      <c r="A9" s="17" t="inlineStr">
        <is>
          <t>Spill %</t>
        </is>
      </c>
      <c r="B9" s="17" t="n">
        <v>5.9</v>
      </c>
      <c r="C9" s="27" t="inlineStr">
        <is>
          <t>Yes</t>
        </is>
      </c>
    </row>
    <row r="10" ht="30" customHeight="1">
      <c r="A10" s="17" t="inlineStr">
        <is>
          <t>Code Change tickets</t>
        </is>
      </c>
      <c r="B10" s="17" t="n">
        <v>8</v>
      </c>
      <c r="C10" s="27" t="inlineStr">
        <is>
          <t>Yes</t>
        </is>
      </c>
    </row>
    <row r="11" ht="30" customHeight="1">
      <c r="A11" s="17" t="inlineStr">
        <is>
          <t>SP Change tickets</t>
        </is>
      </c>
      <c r="B11" s="17" t="n">
        <v>13</v>
      </c>
      <c r="C11" s="27" t="inlineStr">
        <is>
          <t>Yes</t>
        </is>
      </c>
    </row>
    <row r="12">
      <c r="A12" s="17" t="inlineStr">
        <is>
          <t>Code Lines</t>
        </is>
      </c>
      <c r="B12" s="17" t="n">
        <v>651</v>
      </c>
    </row>
    <row r="13">
      <c r="A13" s="17" t="inlineStr">
        <is>
          <t>SQL Lines</t>
        </is>
      </c>
      <c r="B13" s="17" t="n">
        <v>396</v>
      </c>
    </row>
    <row r="14" ht="30" customHeight="1">
      <c r="A14" s="17" t="inlineStr">
        <is>
          <t>Avg Cycle Days</t>
        </is>
      </c>
      <c r="B14" s="17" t="n">
        <v>28.7</v>
      </c>
      <c r="C14" s="27" t="inlineStr">
        <is>
          <t>Yes</t>
        </is>
      </c>
    </row>
    <row r="15" ht="30" customHeight="1">
      <c r="A15" s="17" t="inlineStr">
        <is>
          <t>Defect-theme proxy</t>
        </is>
      </c>
      <c r="B15" s="17" t="n">
        <v>2</v>
      </c>
      <c r="C15" s="27" t="inlineStr">
        <is>
          <t>Yes</t>
        </is>
      </c>
    </row>
    <row r="16" ht="30" customHeight="1">
      <c r="A16" s="17" t="inlineStr">
        <is>
          <t>Rework/reopen proxy</t>
        </is>
      </c>
      <c r="B16" s="17" t="n">
        <v>0</v>
      </c>
      <c r="C16" s="27" t="inlineStr">
        <is>
          <t>Yes</t>
        </is>
      </c>
    </row>
    <row r="17">
      <c r="A17" s="17" t="inlineStr">
        <is>
          <t>Quality gate</t>
        </is>
      </c>
      <c r="B17" s="17" t="inlineStr">
        <is>
          <t>Pass</t>
        </is>
      </c>
      <c r="C17" s="27" t="inlineStr">
        <is>
          <t>Yes</t>
        </is>
      </c>
    </row>
  </sheetData>
  <hyperlinks>
    <hyperlink ref="A1" location="Utkarsh_OKR_Checklist!A1" display="Utkarsh_OKR_Checklist!A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2026-09-23T21:54:43Z</dcterms:created>
  <dcterms:modified xmlns:dcterms="http://purl.org/dc/terms/" xmlns:xsi="http://www.w3.org/2001/XMLSchema-instance" xsi:type="dcterms:W3CDTF">2026-10-29T08:10:14Z</dcterms:modified>
  <cp:lastModifiedBy>Pradyot Ranjan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0x010100FE5934BE90746B418D19A61C02222B6E</vt:lpwstr>
  </property>
  <property name="MediaServiceImageTags" fmtid="{D5CDD505-2E9C-101B-9397-08002B2CF9AE}" pid="3">
    <vt:lpwstr xmlns:vt="http://schemas.openxmlformats.org/officeDocument/2006/docPropsVTypes"/>
  </property>
</Properties>
</file>